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3.xml" ContentType="application/vnd.openxmlformats-officedocument.customXm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4.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filterPrivacy="1" codeName="ThisWorkbook" defaultThemeVersion="166925"/>
  <xr:revisionPtr revIDLastSave="0" documentId="13_ncr:1_{5C7AA808-5DB1-448D-A01C-0F937D048CA3}" xr6:coauthVersionLast="46" xr6:coauthVersionMax="46" xr10:uidLastSave="{00000000-0000-0000-0000-000000000000}"/>
  <workbookProtection workbookAlgorithmName="SHA-256" workbookHashValue="D7MRHCkGD0PC3iaFIJ1hAj28bwe02lzNZb2kFHhf41M=" workbookSaltValue="Vvtb8naC8ue5UlzlWDoP1w==" workbookSpinCount="100000" lockStructure="1"/>
  <bookViews>
    <workbookView xWindow="-108" yWindow="-108" windowWidth="30936" windowHeight="16896" xr2:uid="{9CEED58D-25F4-4D9E-8084-0F6A8CD48E4A}"/>
  </bookViews>
  <sheets>
    <sheet name="Contents" sheetId="5" r:id="rId1"/>
    <sheet name="Calculate G and r" sheetId="1" r:id="rId2"/>
    <sheet name="Working" sheetId="4" state="hidden" r:id="rId3"/>
    <sheet name="FullCAM data" sheetId="3" state="hidden" r:id="rId4"/>
    <sheet name="Interface settings" sheetId="2" state="hidden" r:id="rId5"/>
  </sheets>
  <definedNames>
    <definedName name="Acacia_mangium">'Interface settings'!$D$2</definedName>
    <definedName name="Acacia_mangiumNT">'Interface settings'!$N$2</definedName>
    <definedName name="Eucalyptus_cloeziana">'Interface settings'!$E$2</definedName>
    <definedName name="Eucalyptus_cloezianaQLD">'Interface settings'!$O$2:$O$3</definedName>
    <definedName name="Eucalyptus_globulus">'Interface settings'!$B$2:$B$6</definedName>
    <definedName name="Eucalyptus_globulusNSW">'Interface settings'!$G$2:$G$6</definedName>
    <definedName name="Eucalyptus_globulusSA">'Interface settings'!$H$2:$H$3</definedName>
    <definedName name="Eucalyptus_globulusTAS">'Interface settings'!$I$2</definedName>
    <definedName name="Eucalyptus_globulusVIC">'Interface settings'!$J$2:$J$6</definedName>
    <definedName name="Eucalyptus_globulusWA">'Interface settings'!$K$2</definedName>
    <definedName name="Eucalyptus_nitens">'Interface settings'!$C$2:$C$3</definedName>
    <definedName name="Eucalyptus_nitensTAS">'Interface settings'!$L$2</definedName>
    <definedName name="Eucalyptus_nitensVIC">'Interface settings'!$M$2:$M$5</definedName>
    <definedName name="GlobulusNSW">'Interface settings'!$G$2:$G$6</definedName>
    <definedName name="Species">'Interface settings'!$A$2:$A$5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 i="4" l="1"/>
  <c r="E2" i="4" s="1"/>
  <c r="C2" i="4"/>
  <c r="B2" i="4"/>
  <c r="J2" i="4" s="1"/>
  <c r="K3" i="3"/>
  <c r="K4" i="3"/>
  <c r="K5" i="3"/>
  <c r="K6" i="3"/>
  <c r="K7" i="3"/>
  <c r="K8" i="3"/>
  <c r="K9" i="3"/>
  <c r="K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2" i="3"/>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2" i="3"/>
  <c r="F2" i="4" l="1"/>
  <c r="G2" i="4"/>
  <c r="I2" i="4"/>
  <c r="K2" i="4"/>
  <c r="H2" i="4"/>
  <c r="M2" i="4" l="1"/>
  <c r="L2" i="4"/>
  <c r="H3" i="1" l="1"/>
  <c r="I3" i="1"/>
</calcChain>
</file>

<file path=xl/sharedStrings.xml><?xml version="1.0" encoding="utf-8"?>
<sst xmlns="http://schemas.openxmlformats.org/spreadsheetml/2006/main" count="637" uniqueCount="100">
  <si>
    <t>M</t>
  </si>
  <si>
    <t>Species</t>
  </si>
  <si>
    <t>Rotation length</t>
  </si>
  <si>
    <t>NPI region</t>
  </si>
  <si>
    <t>State</t>
  </si>
  <si>
    <t>G</t>
  </si>
  <si>
    <t>r</t>
  </si>
  <si>
    <t>Eucalyptus cloeziana</t>
  </si>
  <si>
    <t>Species:</t>
  </si>
  <si>
    <t>Acacia mangium</t>
  </si>
  <si>
    <t>Eucalyptus globulus</t>
  </si>
  <si>
    <t>Eucalyptus nitens</t>
  </si>
  <si>
    <t>Murray Valley</t>
  </si>
  <si>
    <t>Bombala/East Gippsland</t>
  </si>
  <si>
    <t>Southern Tablelands</t>
  </si>
  <si>
    <t>Central Tablelands</t>
  </si>
  <si>
    <t>Northern Tablelands</t>
  </si>
  <si>
    <t>Green Triangle</t>
  </si>
  <si>
    <t>Lofty Block</t>
  </si>
  <si>
    <t>Tasmania</t>
  </si>
  <si>
    <t>Central Victoria</t>
  </si>
  <si>
    <t>Central Gippsland</t>
  </si>
  <si>
    <t>Western Australia</t>
  </si>
  <si>
    <t>NSW</t>
  </si>
  <si>
    <t>SA</t>
  </si>
  <si>
    <t>TAS</t>
  </si>
  <si>
    <t>VIC</t>
  </si>
  <si>
    <t>WA</t>
  </si>
  <si>
    <t>NT</t>
  </si>
  <si>
    <t>QLD</t>
  </si>
  <si>
    <t>GlobulusState</t>
  </si>
  <si>
    <t>NitensState</t>
  </si>
  <si>
    <t>mangiumState</t>
  </si>
  <si>
    <t>CloezianaState</t>
  </si>
  <si>
    <t>GlobulusNSW</t>
  </si>
  <si>
    <t>GlobulusSA</t>
  </si>
  <si>
    <t>GlobulusTAS</t>
  </si>
  <si>
    <t>GlobulusVIC</t>
  </si>
  <si>
    <t>GlobulusWA</t>
  </si>
  <si>
    <t>NitensTAS</t>
  </si>
  <si>
    <t>NitensVIC</t>
  </si>
  <si>
    <t>MangiumNT</t>
  </si>
  <si>
    <t>CloezianaQLD</t>
  </si>
  <si>
    <t>Northern Territory</t>
  </si>
  <si>
    <t>South East Queensland</t>
  </si>
  <si>
    <t>Northern Queensland</t>
  </si>
  <si>
    <t>Short</t>
  </si>
  <si>
    <t>Long</t>
  </si>
  <si>
    <t>NPI</t>
  </si>
  <si>
    <t>RotationLength</t>
  </si>
  <si>
    <t>tyf_bg</t>
  </si>
  <si>
    <t>tyf_ag</t>
  </si>
  <si>
    <t>tyf_rMinPavg</t>
  </si>
  <si>
    <t>tyf_rMaxPavg</t>
  </si>
  <si>
    <t>ACT</t>
  </si>
  <si>
    <t>Pinus radiata</t>
  </si>
  <si>
    <t>Eucalyptus cladocalyx</t>
  </si>
  <si>
    <t>Eucalyptus sideroxylon</t>
  </si>
  <si>
    <t>North Coast</t>
  </si>
  <si>
    <t>Corymbia variegata</t>
  </si>
  <si>
    <t>Eucalyptus dunnii</t>
  </si>
  <si>
    <t>Eucalyptus grandis</t>
  </si>
  <si>
    <t>Eucalyptus pilularis</t>
  </si>
  <si>
    <t>Pinus elliottii</t>
  </si>
  <si>
    <t>Pinus taeda</t>
  </si>
  <si>
    <t>Callitris intratropica</t>
  </si>
  <si>
    <t>Pinus carribaea var. hondurensis</t>
  </si>
  <si>
    <t>Qld</t>
  </si>
  <si>
    <t>Araucaria cunninghamii</t>
  </si>
  <si>
    <t>Corymbia citriodora var variegata</t>
  </si>
  <si>
    <t>Eucalyptus argophloia</t>
  </si>
  <si>
    <t>Pinus hybrids</t>
  </si>
  <si>
    <t>Tas</t>
  </si>
  <si>
    <t>Vic</t>
  </si>
  <si>
    <t>Eucalyptus regnans</t>
  </si>
  <si>
    <t>Eucalyptus Oil Mallee</t>
  </si>
  <si>
    <t>Eucalyptus saligna</t>
  </si>
  <si>
    <t>Pinus pinaster</t>
  </si>
  <si>
    <t>SEARCH COLUMN</t>
  </si>
  <si>
    <t>Softwood</t>
  </si>
  <si>
    <t>Hardwood</t>
  </si>
  <si>
    <t>PlantationType</t>
  </si>
  <si>
    <t>tyf_ar</t>
  </si>
  <si>
    <t>tyf_br</t>
  </si>
  <si>
    <t>aG, bG search record</t>
  </si>
  <si>
    <t>ar,br search record</t>
  </si>
  <si>
    <t>ar</t>
  </si>
  <si>
    <t>br</t>
  </si>
  <si>
    <t>aG</t>
  </si>
  <si>
    <t>bG</t>
  </si>
  <si>
    <t>LTAFPI</t>
  </si>
  <si>
    <t>FullCAM-M</t>
  </si>
  <si>
    <t>From AR EE TYF State</t>
  </si>
  <si>
    <t>Southern Tablelands:Hardwood:Short</t>
  </si>
  <si>
    <t>Central Tablelands:Hardwood:Short</t>
  </si>
  <si>
    <t>Manual G and r calculator for projects registered under the 2022 Plantation Forestry Method</t>
  </si>
  <si>
    <t>Version</t>
  </si>
  <si>
    <t>Date</t>
  </si>
  <si>
    <t>Description</t>
  </si>
  <si>
    <t>Version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</si>
</sst>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
  </numFmts>
  <fonts count="8" x14ac:knownFonts="1">
    <font>
      <sz val="11"/>
      <color theme="1"/>
      <name val="Calibri"/>
      <family val="2"/>
      <scheme val="minor"/>
    </font>
    <font>
      <i/>
      <sz val="11"/>
      <color theme="1"/>
      <name val="Calibri"/>
      <family val="2"/>
      <scheme val="minor"/>
    </font>
    <font>
      <sz val="16"/>
      <color theme="1"/>
      <name val="Calibri"/>
      <family val="2"/>
      <scheme val="minor"/>
    </font>
    <font>
      <i/>
      <sz val="16"/>
      <color theme="1"/>
      <name val="Calibri"/>
      <family val="2"/>
      <scheme val="minor"/>
    </font>
    <font>
      <sz val="18"/>
      <color theme="1"/>
      <name val="Calibri"/>
      <family val="2"/>
      <scheme val="minor"/>
    </font>
    <font>
      <sz val="9"/>
      <color theme="1"/>
      <name val="Verdana"/>
      <family val="2"/>
    </font>
    <font>
      <b/>
      <sz val="11"/>
      <color rgb="FFFFFFFF"/>
      <name val="Calibri"/>
      <family val="2"/>
    </font>
    <font>
      <sz val="11"/>
      <color rgb="FF000000"/>
      <name val="Calibri"/>
      <family val="2"/>
    </font>
  </fonts>
  <fills count="8">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7" tint="0.79998168889431442"/>
        <bgColor indexed="64"/>
      </patternFill>
    </fill>
    <fill>
      <patternFill patternType="solid">
        <fgColor rgb="FF005874"/>
        <bgColor indexed="64"/>
      </patternFill>
    </fill>
    <fill>
      <patternFill patternType="solid">
        <fgColor rgb="FFE8E9E7"/>
        <bgColor indexed="64"/>
      </patternFill>
    </fill>
    <fill>
      <patternFill patternType="solid">
        <fgColor theme="2"/>
        <bgColor indexed="64"/>
      </patternFill>
    </fill>
  </fills>
  <borders count="14">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rgb="FFC0C2C4"/>
      </left>
      <right style="thin">
        <color rgb="FFC0C2C4"/>
      </right>
      <top style="medium">
        <color rgb="FFC0C2C4"/>
      </top>
      <bottom style="thin">
        <color rgb="FFC0C2C4"/>
      </bottom>
      <diagonal/>
    </border>
    <border>
      <left style="thin">
        <color rgb="FFC0C2C4"/>
      </left>
      <right style="thin">
        <color rgb="FFC0C2C4"/>
      </right>
      <top style="medium">
        <color rgb="FFC0C2C4"/>
      </top>
      <bottom style="thin">
        <color rgb="FFC0C2C4"/>
      </bottom>
      <diagonal/>
    </border>
    <border>
      <left style="thin">
        <color rgb="FFC0C2C4"/>
      </left>
      <right style="medium">
        <color rgb="FFC0C2C4"/>
      </right>
      <top style="medium">
        <color rgb="FFC0C2C4"/>
      </top>
      <bottom style="thin">
        <color rgb="FFC0C2C4"/>
      </bottom>
      <diagonal/>
    </border>
    <border>
      <left style="medium">
        <color rgb="FFC0C2C4"/>
      </left>
      <right style="thin">
        <color rgb="FFC0C2C4"/>
      </right>
      <top style="thin">
        <color rgb="FFC0C2C4"/>
      </top>
      <bottom style="medium">
        <color rgb="FFC0C2C4"/>
      </bottom>
      <diagonal/>
    </border>
    <border>
      <left style="thin">
        <color rgb="FFC0C2C4"/>
      </left>
      <right style="thin">
        <color rgb="FFC0C2C4"/>
      </right>
      <top style="thin">
        <color rgb="FFC0C2C4"/>
      </top>
      <bottom style="medium">
        <color rgb="FFC0C2C4"/>
      </bottom>
      <diagonal/>
    </border>
    <border>
      <left style="thin">
        <color rgb="FFC0C2C4"/>
      </left>
      <right style="medium">
        <color rgb="FFC0C2C4"/>
      </right>
      <top style="thin">
        <color rgb="FFC0C2C4"/>
      </top>
      <bottom style="medium">
        <color rgb="FFC0C2C4"/>
      </bottom>
      <diagonal/>
    </border>
  </borders>
  <cellStyleXfs count="2">
    <xf numFmtId="0" fontId="0" fillId="0" borderId="0"/>
    <xf numFmtId="0" fontId="5" fillId="0" borderId="0"/>
  </cellStyleXfs>
  <cellXfs count="22">
    <xf numFmtId="0" fontId="0" fillId="0" borderId="0" xfId="0"/>
    <xf numFmtId="0" fontId="0" fillId="0" borderId="0" xfId="0" applyAlignment="1">
      <alignment horizontal="left"/>
    </xf>
    <xf numFmtId="0" fontId="2" fillId="2" borderId="2" xfId="0" applyFont="1" applyFill="1" applyBorder="1" applyAlignment="1" applyProtection="1">
      <alignment horizontal="left"/>
      <protection locked="0"/>
    </xf>
    <xf numFmtId="0" fontId="3" fillId="2" borderId="3" xfId="0" applyFont="1" applyFill="1" applyBorder="1" applyProtection="1">
      <protection locked="0"/>
    </xf>
    <xf numFmtId="0" fontId="2" fillId="2" borderId="3" xfId="0" applyFont="1" applyFill="1" applyBorder="1" applyProtection="1">
      <protection locked="0"/>
    </xf>
    <xf numFmtId="0" fontId="2" fillId="2" borderId="4" xfId="0" applyFont="1" applyFill="1" applyBorder="1" applyProtection="1">
      <protection locked="0"/>
    </xf>
    <xf numFmtId="0" fontId="0" fillId="3" borderId="0" xfId="0" applyFill="1"/>
    <xf numFmtId="0" fontId="2" fillId="3" borderId="1" xfId="0" applyFont="1" applyFill="1" applyBorder="1"/>
    <xf numFmtId="0" fontId="2" fillId="3" borderId="0" xfId="0" applyFont="1" applyFill="1"/>
    <xf numFmtId="0" fontId="3" fillId="3" borderId="0" xfId="0" applyFont="1" applyFill="1"/>
    <xf numFmtId="0" fontId="1" fillId="3" borderId="0" xfId="0" applyFont="1" applyFill="1"/>
    <xf numFmtId="164" fontId="2" fillId="4" borderId="2" xfId="0" applyNumberFormat="1" applyFont="1" applyFill="1" applyBorder="1" applyAlignment="1" applyProtection="1">
      <alignment horizontal="left"/>
      <protection hidden="1"/>
    </xf>
    <xf numFmtId="164" fontId="2" fillId="4" borderId="4" xfId="0" applyNumberFormat="1" applyFont="1" applyFill="1" applyBorder="1" applyAlignment="1" applyProtection="1">
      <alignment horizontal="left"/>
      <protection hidden="1"/>
    </xf>
    <xf numFmtId="0" fontId="6" fillId="5" borderId="8" xfId="1" applyFont="1" applyFill="1" applyBorder="1" applyAlignment="1">
      <alignment horizontal="center" vertical="center"/>
    </xf>
    <xf numFmtId="0" fontId="6" fillId="5" borderId="9" xfId="1" applyFont="1" applyFill="1" applyBorder="1" applyAlignment="1">
      <alignment horizontal="center" vertical="center"/>
    </xf>
    <xf numFmtId="0" fontId="6" fillId="5" borderId="10" xfId="1" applyFont="1" applyFill="1" applyBorder="1" applyAlignment="1">
      <alignment horizontal="center" vertical="center"/>
    </xf>
    <xf numFmtId="0" fontId="7" fillId="6" borderId="11" xfId="1" applyFont="1" applyFill="1" applyBorder="1" applyAlignment="1">
      <alignment vertical="center"/>
    </xf>
    <xf numFmtId="14" fontId="7" fillId="7" borderId="12" xfId="1" quotePrefix="1" applyNumberFormat="1" applyFont="1" applyFill="1" applyBorder="1" applyAlignment="1">
      <alignment horizontal="right" vertical="center"/>
    </xf>
    <xf numFmtId="0" fontId="7" fillId="6" borderId="13" xfId="1" applyFont="1" applyFill="1" applyBorder="1" applyAlignment="1">
      <alignment vertical="center"/>
    </xf>
    <xf numFmtId="0" fontId="4" fillId="3" borderId="6" xfId="0" applyFont="1" applyFill="1" applyBorder="1" applyAlignment="1">
      <alignment horizontal="center" vertical="center" wrapText="1"/>
    </xf>
    <xf numFmtId="0" fontId="4" fillId="3" borderId="7" xfId="0" applyFont="1" applyFill="1" applyBorder="1" applyAlignment="1">
      <alignment horizontal="center" vertical="center" wrapText="1"/>
    </xf>
    <xf numFmtId="0" fontId="4" fillId="3" borderId="5" xfId="0" applyFont="1" applyFill="1" applyBorder="1" applyAlignment="1">
      <alignment horizontal="center" vertical="center" wrapText="1"/>
    </xf>
  </cellXfs>
  <cellStyles count="2">
    <cellStyle name="Normal" xfId="0" builtinId="0"/>
    <cellStyle name="Normal 9" xfId="1" xr:uid="{9A6F0531-2841-40EF-AAEC-810A75D4CBC4}"/>
  </cellStyles>
  <dxfs count="0"/>
  <tableStyles count="0" defaultTableStyle="TableStyleMedium2" defaultPivotStyle="PivotStyleLight16"/>
  <colors>
    <mruColors>
      <color rgb="FFF0E0D0"/>
      <color rgb="FFEFE5F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 Id="rId14" Type="http://schemas.openxmlformats.org/officeDocument/2006/relationships/customXml" Target="../customXml/item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38100</xdr:rowOff>
    </xdr:from>
    <xdr:to>
      <xdr:col>6</xdr:col>
      <xdr:colOff>501650</xdr:colOff>
      <xdr:row>7</xdr:row>
      <xdr:rowOff>152400</xdr:rowOff>
    </xdr:to>
    <xdr:sp macro="" textlink="">
      <xdr:nvSpPr>
        <xdr:cNvPr id="3" name="TextBox 2">
          <a:extLst>
            <a:ext uri="{FF2B5EF4-FFF2-40B4-BE49-F238E27FC236}">
              <a16:creationId xmlns:a16="http://schemas.microsoft.com/office/drawing/2014/main" id="{B1A9FCE8-697D-4471-BA97-BF4D6E887B42}"/>
            </a:ext>
          </a:extLst>
        </xdr:cNvPr>
        <xdr:cNvSpPr txBox="1"/>
      </xdr:nvSpPr>
      <xdr:spPr>
        <a:xfrm>
          <a:off x="28575" y="38100"/>
          <a:ext cx="6816725" cy="1381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spcBef>
              <a:spcPts val="1400"/>
            </a:spcBef>
            <a:spcAft>
              <a:spcPts val="1000"/>
            </a:spcAft>
          </a:pPr>
          <a:r>
            <a:rPr lang="en-AU" sz="2000" b="1" kern="1600">
              <a:solidFill>
                <a:srgbClr val="005874"/>
              </a:solidFill>
              <a:effectLst/>
              <a:latin typeface="Calibri" panose="020F0502020204030204" pitchFamily="34" charset="0"/>
              <a:ea typeface="Times New Roman" panose="02020603050405020304" pitchFamily="18" charset="0"/>
              <a:cs typeface="Calibri" panose="020F0502020204030204" pitchFamily="34" charset="0"/>
            </a:rPr>
            <a:t>Manual G and r calculator</a:t>
          </a:r>
        </a:p>
        <a:p>
          <a:r>
            <a:rPr lang="en-AU" sz="1100" b="0">
              <a:solidFill>
                <a:schemeClr val="dk1"/>
              </a:solidFill>
              <a:effectLst/>
              <a:latin typeface="+mn-lt"/>
              <a:ea typeface="+mn-ea"/>
              <a:cs typeface="+mn-cs"/>
            </a:rPr>
            <a:t>Section 3.10 of the FullCAM guidelines for the 2022 plantation forestry method require the use of this manual G and r calculator (‘the calculator’) to calculate certain inputs for FullCAM when modelling a forest of a species and region shown in the table in section 3.10. This spreadsheet must be used in accordance with the FullCAM guidelines.  </a:t>
          </a:r>
          <a:endParaRPr lang="en-AU" sz="1100"/>
        </a:p>
        <a:p>
          <a:endParaRPr lang="en-AU" sz="1100"/>
        </a:p>
      </xdr:txBody>
    </xdr:sp>
    <xdr:clientData/>
  </xdr:twoCellAnchor>
  <xdr:twoCellAnchor>
    <xdr:from>
      <xdr:col>0</xdr:col>
      <xdr:colOff>1</xdr:colOff>
      <xdr:row>10</xdr:row>
      <xdr:rowOff>114300</xdr:rowOff>
    </xdr:from>
    <xdr:to>
      <xdr:col>6</xdr:col>
      <xdr:colOff>514351</xdr:colOff>
      <xdr:row>36</xdr:row>
      <xdr:rowOff>19050</xdr:rowOff>
    </xdr:to>
    <xdr:sp macro="" textlink="">
      <xdr:nvSpPr>
        <xdr:cNvPr id="4" name="TextBox 3">
          <a:extLst>
            <a:ext uri="{FF2B5EF4-FFF2-40B4-BE49-F238E27FC236}">
              <a16:creationId xmlns:a16="http://schemas.microsoft.com/office/drawing/2014/main" id="{18358C00-5CE6-4654-8596-2D54BA2B691E}"/>
            </a:ext>
          </a:extLst>
        </xdr:cNvPr>
        <xdr:cNvSpPr txBox="1"/>
      </xdr:nvSpPr>
      <xdr:spPr>
        <a:xfrm>
          <a:off x="1" y="1943100"/>
          <a:ext cx="6858000" cy="46101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solidFill>
                <a:schemeClr val="dk1"/>
              </a:solidFill>
              <a:effectLst/>
              <a:latin typeface="+mn-lt"/>
              <a:ea typeface="+mn-ea"/>
              <a:cs typeface="+mn-cs"/>
            </a:rPr>
            <a:t>IMPORTANT NOTICE: Terms of use</a:t>
          </a:r>
        </a:p>
        <a:p>
          <a:endParaRPr lang="en-AU" sz="1100">
            <a:solidFill>
              <a:schemeClr val="dk1"/>
            </a:solidFill>
            <a:effectLst/>
            <a:latin typeface="+mn-lt"/>
            <a:ea typeface="+mn-ea"/>
            <a:cs typeface="+mn-cs"/>
          </a:endParaRPr>
        </a:p>
        <a:p>
          <a:r>
            <a:rPr lang="en-AU" sz="1100">
              <a:solidFill>
                <a:schemeClr val="dk1"/>
              </a:solidFill>
              <a:effectLst/>
              <a:latin typeface="+mn-lt"/>
              <a:ea typeface="+mn-ea"/>
              <a:cs typeface="+mn-cs"/>
            </a:rPr>
            <a:t>The Clean Energy Regulator, and the Commonwealth of Australia are not responsible for the data input into the calculator or FullCAM by users, and will not be liable for any direct, indirect or consequential loss arising out of, or in connection with, or reliance on, or produced by, calculator outputs. While reasonable efforts have been made to ensure that the calculator operates as intended, the Clean Energy Regulator, and the Commonwealth of Australia do not warrant that estimates generated by the calculator will be accurate, complete or up-to-date. </a:t>
          </a:r>
        </a:p>
        <a:p>
          <a:r>
            <a:rPr lang="en-AU" sz="1100">
              <a:solidFill>
                <a:schemeClr val="dk1"/>
              </a:solidFill>
              <a:effectLst/>
              <a:latin typeface="+mn-lt"/>
              <a:ea typeface="+mn-ea"/>
              <a:cs typeface="+mn-cs"/>
            </a:rPr>
            <a:t>The Clean Energy Regulator and the Commonwealth of Australia do not guarantee uninterrupted access to the calculator or the associated website, and do not maintain that files obtained from or through this website are free from viruses.</a:t>
          </a:r>
        </a:p>
        <a:p>
          <a:endParaRPr lang="en-AU" sz="1100">
            <a:solidFill>
              <a:schemeClr val="dk1"/>
            </a:solidFill>
            <a:effectLst/>
            <a:latin typeface="+mn-lt"/>
            <a:ea typeface="+mn-ea"/>
            <a:cs typeface="+mn-cs"/>
          </a:endParaRPr>
        </a:p>
        <a:p>
          <a:r>
            <a:rPr lang="en-AU" sz="1100">
              <a:solidFill>
                <a:schemeClr val="dk1"/>
              </a:solidFill>
              <a:effectLst/>
              <a:latin typeface="+mn-lt"/>
              <a:ea typeface="+mn-ea"/>
              <a:cs typeface="+mn-cs"/>
            </a:rPr>
            <a:t>By using the calculator, you agree to be bound by the above Terms of Use. The Clean Energy Regulator and the Commonwealth may, at their discretion, vary or modify these Terms of Use without notice, and any subsequent use by you of the calculator will constitute an acceptance of the Terms of Use as modified. </a:t>
          </a:r>
        </a:p>
        <a:p>
          <a:endParaRPr lang="en-AU" sz="1100">
            <a:solidFill>
              <a:schemeClr val="dk1"/>
            </a:solidFill>
            <a:effectLst/>
            <a:latin typeface="+mn-lt"/>
            <a:ea typeface="+mn-ea"/>
            <a:cs typeface="+mn-cs"/>
          </a:endParaRPr>
        </a:p>
        <a:p>
          <a:r>
            <a:rPr lang="en-AU" sz="1100" b="1">
              <a:solidFill>
                <a:schemeClr val="dk1"/>
              </a:solidFill>
              <a:effectLst/>
              <a:latin typeface="+mn-lt"/>
              <a:ea typeface="+mn-ea"/>
              <a:cs typeface="+mn-cs"/>
            </a:rPr>
            <a:t>Commonwealth of Australia 2021</a:t>
          </a:r>
          <a:endParaRPr lang="en-AU" sz="1100">
            <a:solidFill>
              <a:schemeClr val="dk1"/>
            </a:solidFill>
            <a:effectLst/>
            <a:latin typeface="+mn-lt"/>
            <a:ea typeface="+mn-ea"/>
            <a:cs typeface="+mn-cs"/>
          </a:endParaRPr>
        </a:p>
        <a:p>
          <a:endParaRPr lang="en-AU" sz="1100"/>
        </a:p>
        <a:p>
          <a:endParaRPr lang="en-AU"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3</xdr:row>
      <xdr:rowOff>259080</xdr:rowOff>
    </xdr:from>
    <xdr:to>
      <xdr:col>6</xdr:col>
      <xdr:colOff>0</xdr:colOff>
      <xdr:row>41</xdr:row>
      <xdr:rowOff>101600</xdr:rowOff>
    </xdr:to>
    <xdr:sp macro="" textlink="">
      <xdr:nvSpPr>
        <xdr:cNvPr id="2" name="Rectangle: Rounded Corners 1">
          <a:extLst>
            <a:ext uri="{FF2B5EF4-FFF2-40B4-BE49-F238E27FC236}">
              <a16:creationId xmlns:a16="http://schemas.microsoft.com/office/drawing/2014/main" id="{A5479DD0-C560-4EC6-805E-745C5063FD5C}"/>
            </a:ext>
          </a:extLst>
        </xdr:cNvPr>
        <xdr:cNvSpPr/>
      </xdr:nvSpPr>
      <xdr:spPr>
        <a:xfrm>
          <a:off x="406400" y="1363980"/>
          <a:ext cx="8921750" cy="700532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AU" sz="1400"/>
            <a:t>INSTRUCTIONS</a:t>
          </a:r>
        </a:p>
        <a:p>
          <a:pPr algn="l"/>
          <a:endParaRPr lang="en-AU" sz="1400"/>
        </a:p>
        <a:p>
          <a:pPr algn="l"/>
          <a:r>
            <a:rPr lang="en-AU" sz="1400">
              <a:solidFill>
                <a:schemeClr val="accent6">
                  <a:lumMod val="75000"/>
                </a:schemeClr>
              </a:solidFill>
            </a:rPr>
            <a:t>Green cells</a:t>
          </a:r>
          <a:r>
            <a:rPr lang="en-AU" sz="1400"/>
            <a:t> require data input (all cells except for FullCAM-M (cell B3) are drop-down menus).</a:t>
          </a:r>
        </a:p>
        <a:p>
          <a:pPr algn="l"/>
          <a:r>
            <a:rPr lang="en-AU" sz="1400">
              <a:solidFill>
                <a:schemeClr val="accent4"/>
              </a:solidFill>
            </a:rPr>
            <a:t>Orange cells </a:t>
          </a:r>
          <a:r>
            <a:rPr lang="en-AU" sz="1400"/>
            <a:t>are the returned</a:t>
          </a:r>
          <a:r>
            <a:rPr lang="en-AU" sz="1400" baseline="0"/>
            <a:t> values of G and r.</a:t>
          </a:r>
        </a:p>
        <a:p>
          <a:pPr algn="l"/>
          <a:r>
            <a:rPr lang="en-AU" sz="1400" baseline="0"/>
            <a:t>The </a:t>
          </a:r>
          <a:r>
            <a:rPr lang="en-AU" sz="1400">
              <a:solidFill>
                <a:schemeClr val="accent6">
                  <a:lumMod val="75000"/>
                </a:schemeClr>
              </a:solidFill>
              <a:latin typeface="+mn-lt"/>
              <a:ea typeface="+mn-ea"/>
              <a:cs typeface="+mn-cs"/>
            </a:rPr>
            <a:t>green</a:t>
          </a:r>
          <a:r>
            <a:rPr lang="en-AU" sz="1400" baseline="0"/>
            <a:t> cells must be populated sequentially - that is, B3 must be populated before C3, which must be populated before D3 and so forth.</a:t>
          </a:r>
        </a:p>
        <a:p>
          <a:pPr algn="l"/>
          <a:endParaRPr lang="en-AU" sz="1400" baseline="0"/>
        </a:p>
        <a:p>
          <a:pPr algn="l"/>
          <a:r>
            <a:rPr lang="en-AU" sz="1400" baseline="0"/>
            <a:t>FullCAM-M</a:t>
          </a:r>
        </a:p>
        <a:p>
          <a:pPr algn="l"/>
          <a:r>
            <a:rPr lang="en-AU" sz="1400" baseline="0"/>
            <a:t>The maximum biomass parameter from the FullCAM plotfile needs to be entered in this cell.</a:t>
          </a:r>
        </a:p>
        <a:p>
          <a:pPr algn="l"/>
          <a:r>
            <a:rPr lang="en-AU" sz="1400" b="1" baseline="0"/>
            <a:t>See S3.10 of the FullCAM guidelines for more information.</a:t>
          </a:r>
          <a:endParaRPr lang="en-AU" sz="1400" b="1"/>
        </a:p>
      </xdr:txBody>
    </xdr:sp>
    <xdr:clientData/>
  </xdr:twoCellAnchor>
  <xdr:twoCellAnchor editAs="oneCell">
    <xdr:from>
      <xdr:col>2</xdr:col>
      <xdr:colOff>598805</xdr:colOff>
      <xdr:row>18</xdr:row>
      <xdr:rowOff>56565</xdr:rowOff>
    </xdr:from>
    <xdr:to>
      <xdr:col>4</xdr:col>
      <xdr:colOff>1703705</xdr:colOff>
      <xdr:row>40</xdr:row>
      <xdr:rowOff>161654</xdr:rowOff>
    </xdr:to>
    <xdr:pic>
      <xdr:nvPicPr>
        <xdr:cNvPr id="3" name="Picture 2">
          <a:extLst>
            <a:ext uri="{FF2B5EF4-FFF2-40B4-BE49-F238E27FC236}">
              <a16:creationId xmlns:a16="http://schemas.microsoft.com/office/drawing/2014/main" id="{81C64D7D-6DF1-407B-BDB4-05F143BA460A}"/>
            </a:ext>
          </a:extLst>
        </xdr:cNvPr>
        <xdr:cNvPicPr>
          <a:picLocks noChangeAspect="1"/>
        </xdr:cNvPicPr>
      </xdr:nvPicPr>
      <xdr:blipFill>
        <a:blip xmlns:r="http://schemas.openxmlformats.org/officeDocument/2006/relationships" r:embed="rId1"/>
        <a:stretch>
          <a:fillRect/>
        </a:stretch>
      </xdr:blipFill>
      <xdr:spPr>
        <a:xfrm>
          <a:off x="2160905" y="4088815"/>
          <a:ext cx="4527550" cy="415638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F0838-C399-4901-AF82-43FE82920135}">
  <dimension ref="A8:C10"/>
  <sheetViews>
    <sheetView tabSelected="1" workbookViewId="0"/>
  </sheetViews>
  <sheetFormatPr defaultColWidth="8.77734375" defaultRowHeight="14.4" x14ac:dyDescent="0.3"/>
  <cols>
    <col min="1" max="1" width="8.77734375" style="6"/>
    <col min="2" max="2" width="10.44140625" style="6" bestFit="1" customWidth="1"/>
    <col min="3" max="3" width="45.44140625" style="6" customWidth="1"/>
    <col min="4" max="16384" width="8.77734375" style="6"/>
  </cols>
  <sheetData>
    <row r="8" spans="1:3" ht="15" thickBot="1" x14ac:dyDescent="0.35"/>
    <row r="9" spans="1:3" x14ac:dyDescent="0.3">
      <c r="A9" s="13" t="s">
        <v>96</v>
      </c>
      <c r="B9" s="14" t="s">
        <v>97</v>
      </c>
      <c r="C9" s="15" t="s">
        <v>98</v>
      </c>
    </row>
    <row r="10" spans="1:3" ht="15" thickBot="1" x14ac:dyDescent="0.35">
      <c r="A10" s="16">
        <v>1</v>
      </c>
      <c r="B10" s="17">
        <v>44553</v>
      </c>
      <c r="C10" s="18" t="s">
        <v>99</v>
      </c>
    </row>
  </sheetData>
  <sheetProtection algorithmName="SHA-256" hashValue="HGowf3MyLQ3QFm+AR36qP45ltfnvODnBj37twIGVbdk=" saltValue="651w1ihVIGhOR3I2aKrxAg==" spinCount="100000" sheet="1" objects="1" scenarios="1"/>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AA3C5F-9D7D-4A41-9F60-6ABB7FEEE448}">
  <sheetPr codeName="Sheet1"/>
  <dimension ref="B1:L10"/>
  <sheetViews>
    <sheetView workbookViewId="0"/>
  </sheetViews>
  <sheetFormatPr defaultColWidth="8.77734375" defaultRowHeight="14.4" x14ac:dyDescent="0.3"/>
  <cols>
    <col min="1" max="1" width="5.77734375" style="6" customWidth="1"/>
    <col min="2" max="2" width="16.5546875" style="6" customWidth="1"/>
    <col min="3" max="3" width="33" style="6" customWidth="1"/>
    <col min="4" max="4" width="16" style="6" customWidth="1"/>
    <col min="5" max="5" width="33.88671875" style="6" customWidth="1"/>
    <col min="6" max="6" width="28.21875" style="6" customWidth="1"/>
    <col min="7" max="7" width="3.21875" style="6" customWidth="1"/>
    <col min="8" max="8" width="15.6640625" style="6" customWidth="1"/>
    <col min="9" max="9" width="15.44140625" style="6" customWidth="1"/>
    <col min="10" max="11" width="8.77734375" style="6"/>
    <col min="12" max="12" width="17.44140625" style="6" customWidth="1"/>
    <col min="13" max="16384" width="8.77734375" style="6"/>
  </cols>
  <sheetData>
    <row r="1" spans="2:12" ht="43.95" customHeight="1" thickBot="1" x14ac:dyDescent="0.35">
      <c r="B1" s="19" t="s">
        <v>95</v>
      </c>
      <c r="C1" s="20"/>
      <c r="D1" s="20"/>
      <c r="E1" s="20"/>
      <c r="F1" s="21"/>
    </row>
    <row r="2" spans="2:12" ht="21.6" thickBot="1" x14ac:dyDescent="0.45">
      <c r="B2" s="7" t="s">
        <v>91</v>
      </c>
      <c r="C2" s="7" t="s">
        <v>1</v>
      </c>
      <c r="D2" s="7" t="s">
        <v>4</v>
      </c>
      <c r="E2" s="7" t="s">
        <v>3</v>
      </c>
      <c r="F2" s="7" t="s">
        <v>2</v>
      </c>
      <c r="G2" s="8"/>
      <c r="H2" s="7" t="s">
        <v>5</v>
      </c>
      <c r="I2" s="7" t="s">
        <v>6</v>
      </c>
      <c r="J2" s="8"/>
      <c r="K2" s="8"/>
      <c r="L2" s="8"/>
    </row>
    <row r="3" spans="2:12" ht="21.6" thickBot="1" x14ac:dyDescent="0.45">
      <c r="B3" s="2">
        <v>100.458</v>
      </c>
      <c r="C3" s="3" t="s">
        <v>10</v>
      </c>
      <c r="D3" s="4" t="s">
        <v>25</v>
      </c>
      <c r="E3" s="4" t="s">
        <v>19</v>
      </c>
      <c r="F3" s="5" t="s">
        <v>46</v>
      </c>
      <c r="G3" s="8"/>
      <c r="H3" s="11">
        <f>IF(OR(ISNA(Working!L2),ISNA(Working!M2)),"",Working!L2)</f>
        <v>11.50804130549</v>
      </c>
      <c r="I3" s="12">
        <f>IF(OR(ISNA(Working!L2),ISNA(Working!M2)),"",Working!M2)</f>
        <v>5.8140835399461048</v>
      </c>
      <c r="J3" s="8"/>
      <c r="K3" s="8"/>
      <c r="L3" s="8"/>
    </row>
    <row r="4" spans="2:12" ht="21" x14ac:dyDescent="0.4">
      <c r="B4" s="8"/>
      <c r="C4" s="9"/>
      <c r="D4" s="8"/>
      <c r="E4" s="8"/>
      <c r="F4" s="8"/>
      <c r="G4" s="8"/>
      <c r="H4" s="8"/>
      <c r="I4" s="8"/>
      <c r="J4" s="8"/>
      <c r="K4" s="8"/>
      <c r="L4" s="8"/>
    </row>
    <row r="5" spans="2:12" ht="21" x14ac:dyDescent="0.4">
      <c r="B5" s="8"/>
      <c r="C5" s="9"/>
      <c r="D5" s="8"/>
      <c r="E5" s="8"/>
      <c r="F5" s="8"/>
      <c r="G5" s="8"/>
      <c r="H5" s="8"/>
      <c r="I5" s="8"/>
      <c r="J5" s="8"/>
      <c r="K5" s="8"/>
      <c r="L5" s="8"/>
    </row>
    <row r="6" spans="2:12" x14ac:dyDescent="0.3">
      <c r="C6" s="10"/>
    </row>
    <row r="7" spans="2:12" x14ac:dyDescent="0.3">
      <c r="C7" s="10"/>
    </row>
    <row r="8" spans="2:12" x14ac:dyDescent="0.3">
      <c r="C8" s="10"/>
    </row>
    <row r="9" spans="2:12" x14ac:dyDescent="0.3">
      <c r="C9" s="10"/>
    </row>
    <row r="10" spans="2:12" x14ac:dyDescent="0.3">
      <c r="C10" s="10"/>
    </row>
  </sheetData>
  <sheetProtection algorithmName="SHA-256" hashValue="KJ7xkdvNC13+l+N3pQcbeSzHoymroqiym6VvCuUum2s=" saltValue="BFhyNNwz6sWZyrmosQk+qA==" spinCount="100000" sheet="1" objects="1" scenarios="1"/>
  <mergeCells count="1">
    <mergeCell ref="B1:F1"/>
  </mergeCells>
  <dataValidations count="5">
    <dataValidation type="list" allowBlank="1" showInputMessage="1" showErrorMessage="1" sqref="L3" xr:uid="{7665518E-B4CB-4D4A-8CBE-E7EECCC2C19B}">
      <formula1>$V$6:$V$9</formula1>
    </dataValidation>
    <dataValidation type="list" allowBlank="1" showInputMessage="1" showErrorMessage="1" sqref="C3" xr:uid="{E330D64B-D464-46DC-B841-1714F44EC876}">
      <formula1>Species</formula1>
    </dataValidation>
    <dataValidation type="list" allowBlank="1" showInputMessage="1" showErrorMessage="1" sqref="D3" xr:uid="{CAC02535-2857-4B24-AA36-85D454E7ADF2}">
      <formula1>INDIRECT(SUBSTITUTE($C$3," ","_"))</formula1>
    </dataValidation>
    <dataValidation type="list" allowBlank="1" showInputMessage="1" showErrorMessage="1" sqref="E3" xr:uid="{91974A0B-A303-4A5D-9395-EDEEF80081DB}">
      <formula1>INDIRECT(SUBSTITUTE(SUBSTITUTE(C3," ","_")&amp;D3," ",""))</formula1>
    </dataValidation>
    <dataValidation type="list" allowBlank="1" showInputMessage="1" showErrorMessage="1" sqref="F3" xr:uid="{FC47BE1D-A48B-48A7-AB59-DF790877AA71}">
      <formula1>"Short,Long"</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347D9-8E00-4CFF-8830-3B347875BE96}">
  <sheetPr codeName="Sheet4"/>
  <dimension ref="B1:M2"/>
  <sheetViews>
    <sheetView workbookViewId="0">
      <selection activeCell="E2" sqref="E2"/>
    </sheetView>
  </sheetViews>
  <sheetFormatPr defaultRowHeight="14.4" x14ac:dyDescent="0.3"/>
  <cols>
    <col min="1" max="1" width="2.77734375" customWidth="1"/>
    <col min="2" max="2" width="49.44140625" customWidth="1"/>
    <col min="3" max="3" width="47.5546875" customWidth="1"/>
    <col min="4" max="4" width="10" customWidth="1"/>
    <col min="5" max="5" width="12" bestFit="1" customWidth="1"/>
    <col min="10" max="10" width="13.21875" customWidth="1"/>
    <col min="11" max="11" width="15" customWidth="1"/>
  </cols>
  <sheetData>
    <row r="1" spans="2:13" x14ac:dyDescent="0.3">
      <c r="B1" t="s">
        <v>84</v>
      </c>
      <c r="C1" t="s">
        <v>85</v>
      </c>
      <c r="D1" t="s">
        <v>0</v>
      </c>
      <c r="E1" t="s">
        <v>90</v>
      </c>
      <c r="F1" t="s">
        <v>86</v>
      </c>
      <c r="G1" t="s">
        <v>87</v>
      </c>
      <c r="H1" t="s">
        <v>88</v>
      </c>
      <c r="I1" t="s">
        <v>89</v>
      </c>
      <c r="J1" t="s">
        <v>52</v>
      </c>
      <c r="K1" t="s">
        <v>53</v>
      </c>
      <c r="L1" t="s">
        <v>5</v>
      </c>
      <c r="M1" t="s">
        <v>6</v>
      </c>
    </row>
    <row r="2" spans="2:13" x14ac:dyDescent="0.3">
      <c r="B2" t="str">
        <f>'Calculate G and r'!D3&amp;":"&amp;'Calculate G and r'!E3&amp;":"&amp;'Calculate G and r'!C3&amp;":"&amp;'Calculate G and r'!F3</f>
        <v>TAS:Tasmania:Eucalyptus globulus:Short</v>
      </c>
      <c r="C2" t="str">
        <f>'Calculate G and r'!E3&amp;":"&amp;"Hardwood"&amp;":"&amp;'Calculate G and r'!F3</f>
        <v>Tasmania:Hardwood:Short</v>
      </c>
      <c r="D2" s="1">
        <f>'Calculate G and r'!B3</f>
        <v>100.458</v>
      </c>
      <c r="E2" s="1">
        <f>((SQRT(D2)+5.2912)/6.0109)^2</f>
        <v>6.4908633735845847</v>
      </c>
      <c r="F2" s="1">
        <f>VLOOKUP(C2,'FullCAM data'!$K$2:$P$65,5,FALSE)</f>
        <v>3.8620137350000001</v>
      </c>
      <c r="G2" s="1">
        <f>VLOOKUP(C2,'FullCAM data'!$K$2:$P$65,6,FALSE)</f>
        <v>-1.1236824000000001</v>
      </c>
      <c r="H2" s="1">
        <f>VLOOKUP(B2,'FullCAM data'!$A$2:$I$96,7,FALSE)</f>
        <v>13.39661102</v>
      </c>
      <c r="I2" s="1">
        <f>VLOOKUP(B2,'FullCAM data'!$A$2:$I$96,6,FALSE)</f>
        <v>-1.8799594999999999E-2</v>
      </c>
      <c r="J2" s="1">
        <f>VLOOKUP(B2,'FullCAM data'!$A$2:$I$96,8,FALSE)</f>
        <v>4.3</v>
      </c>
      <c r="K2" s="1">
        <f>VLOOKUP(B2,'FullCAM data'!$A$2:$I$96,9,FALSE)</f>
        <v>16.5</v>
      </c>
      <c r="L2" s="1">
        <f>$H$2+$I$2*D2</f>
        <v>11.50804130549</v>
      </c>
      <c r="M2" s="1">
        <f>IF(OR(E2&lt;=J2,E2&gt;=K2),1,EXP(F2)*E2^G2)</f>
        <v>5.8140835399461048</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C301B-6BAE-4DF7-A5C2-34B3F71EA5D0}">
  <sheetPr codeName="Sheet3"/>
  <dimension ref="A1:P96"/>
  <sheetViews>
    <sheetView workbookViewId="0">
      <selection activeCell="A9" sqref="A9"/>
    </sheetView>
  </sheetViews>
  <sheetFormatPr defaultRowHeight="14.4" x14ac:dyDescent="0.3"/>
  <cols>
    <col min="1" max="1" width="51" customWidth="1"/>
    <col min="3" max="3" width="24" customWidth="1"/>
    <col min="4" max="4" width="23.88671875" customWidth="1"/>
    <col min="5" max="5" width="15.109375" customWidth="1"/>
    <col min="9" max="9" width="12" customWidth="1"/>
    <col min="11" max="11" width="40.6640625" customWidth="1"/>
    <col min="12" max="12" width="20.21875" customWidth="1"/>
    <col min="13" max="13" width="19.109375" customWidth="1"/>
    <col min="14" max="14" width="9.5546875" customWidth="1"/>
    <col min="15" max="15" width="14.88671875" customWidth="1"/>
    <col min="16" max="16" width="12.21875" customWidth="1"/>
  </cols>
  <sheetData>
    <row r="1" spans="1:16" x14ac:dyDescent="0.3">
      <c r="A1" t="s">
        <v>78</v>
      </c>
      <c r="B1" t="s">
        <v>4</v>
      </c>
      <c r="C1" t="s">
        <v>48</v>
      </c>
      <c r="D1" t="s">
        <v>1</v>
      </c>
      <c r="E1" t="s">
        <v>49</v>
      </c>
      <c r="F1" t="s">
        <v>50</v>
      </c>
      <c r="G1" t="s">
        <v>51</v>
      </c>
      <c r="H1" t="s">
        <v>52</v>
      </c>
      <c r="I1" t="s">
        <v>53</v>
      </c>
      <c r="K1" t="s">
        <v>78</v>
      </c>
      <c r="L1" t="s">
        <v>48</v>
      </c>
      <c r="M1" t="s">
        <v>81</v>
      </c>
      <c r="N1" t="s">
        <v>49</v>
      </c>
      <c r="O1" t="s">
        <v>82</v>
      </c>
      <c r="P1" t="s">
        <v>83</v>
      </c>
    </row>
    <row r="2" spans="1:16" x14ac:dyDescent="0.3">
      <c r="A2" t="str">
        <f>B2&amp;":"&amp;C2&amp;":"&amp;D2&amp;":"&amp;E2</f>
        <v>ACT:Southern Tablelands:Pinus radiata:Long</v>
      </c>
      <c r="B2" t="s">
        <v>54</v>
      </c>
      <c r="C2" t="s">
        <v>14</v>
      </c>
      <c r="D2" t="s">
        <v>55</v>
      </c>
      <c r="E2" t="s">
        <v>47</v>
      </c>
      <c r="F2">
        <v>-2.7098803000000001E-2</v>
      </c>
      <c r="G2">
        <v>15.89189672</v>
      </c>
      <c r="H2">
        <v>4.0999999999999996</v>
      </c>
      <c r="I2">
        <v>13.4</v>
      </c>
      <c r="K2" t="str">
        <f>L2&amp;":"&amp;M2&amp;":"&amp;N2</f>
        <v>Western Australia:Softwood:Short</v>
      </c>
      <c r="L2" t="s">
        <v>22</v>
      </c>
      <c r="M2" t="s">
        <v>79</v>
      </c>
      <c r="N2" t="s">
        <v>46</v>
      </c>
      <c r="O2">
        <v>3.3511936549999999</v>
      </c>
      <c r="P2">
        <v>-0.86588569999999998</v>
      </c>
    </row>
    <row r="3" spans="1:16" x14ac:dyDescent="0.3">
      <c r="A3" t="str">
        <f t="shared" ref="A3:A66" si="0">B3&amp;":"&amp;C3&amp;":"&amp;D3&amp;":"&amp;E3</f>
        <v>NSW:Murray Valley:Eucalyptus cladocalyx:Long</v>
      </c>
      <c r="B3" t="s">
        <v>23</v>
      </c>
      <c r="C3" t="s">
        <v>12</v>
      </c>
      <c r="D3" t="s">
        <v>56</v>
      </c>
      <c r="E3" t="s">
        <v>47</v>
      </c>
      <c r="F3">
        <v>-2.9657211999999999E-2</v>
      </c>
      <c r="G3">
        <v>17.028836760000001</v>
      </c>
      <c r="H3">
        <v>5.5</v>
      </c>
      <c r="I3">
        <v>14</v>
      </c>
      <c r="K3" t="str">
        <f t="shared" ref="K3:K55" si="1">L3&amp;":"&amp;M3&amp;":"&amp;N3</f>
        <v>Western Australia:Softwood:Long</v>
      </c>
      <c r="L3" t="s">
        <v>22</v>
      </c>
      <c r="M3" t="s">
        <v>79</v>
      </c>
      <c r="N3" t="s">
        <v>47</v>
      </c>
      <c r="O3">
        <v>3.3511936549999999</v>
      </c>
      <c r="P3">
        <v>-0.86588569999999998</v>
      </c>
    </row>
    <row r="4" spans="1:16" x14ac:dyDescent="0.3">
      <c r="A4" t="str">
        <f t="shared" si="0"/>
        <v>NSW:Murray Valley:Eucalyptus globulus:Short</v>
      </c>
      <c r="B4" t="s">
        <v>23</v>
      </c>
      <c r="C4" t="s">
        <v>12</v>
      </c>
      <c r="D4" t="s">
        <v>10</v>
      </c>
      <c r="E4" t="s">
        <v>46</v>
      </c>
      <c r="F4">
        <v>-2.0363301E-2</v>
      </c>
      <c r="G4">
        <v>11.51277784</v>
      </c>
      <c r="H4">
        <v>4.3</v>
      </c>
      <c r="I4">
        <v>14</v>
      </c>
      <c r="K4" t="str">
        <f t="shared" si="1"/>
        <v>Western Australia:Hardwood:Short</v>
      </c>
      <c r="L4" t="s">
        <v>22</v>
      </c>
      <c r="M4" t="s">
        <v>80</v>
      </c>
      <c r="N4" t="s">
        <v>46</v>
      </c>
      <c r="O4">
        <v>3.5676986450000001</v>
      </c>
      <c r="P4">
        <v>-1.1236824000000001</v>
      </c>
    </row>
    <row r="5" spans="1:16" x14ac:dyDescent="0.3">
      <c r="A5" t="str">
        <f t="shared" si="0"/>
        <v>NSW:Murray Valley:Eucalyptus globulus:Long</v>
      </c>
      <c r="B5" t="s">
        <v>23</v>
      </c>
      <c r="C5" t="s">
        <v>12</v>
      </c>
      <c r="D5" t="s">
        <v>10</v>
      </c>
      <c r="E5" t="s">
        <v>47</v>
      </c>
      <c r="F5">
        <v>-2.9657211999999999E-2</v>
      </c>
      <c r="G5">
        <v>17.028836760000001</v>
      </c>
      <c r="H5">
        <v>5.5</v>
      </c>
      <c r="I5">
        <v>14</v>
      </c>
      <c r="K5" t="str">
        <f t="shared" si="1"/>
        <v>Western Australia:Hardwood:Long</v>
      </c>
      <c r="L5" t="s">
        <v>22</v>
      </c>
      <c r="M5" t="s">
        <v>80</v>
      </c>
      <c r="N5" t="s">
        <v>47</v>
      </c>
      <c r="O5">
        <v>3.8819578450000001</v>
      </c>
      <c r="P5">
        <v>-1.1236824000000001</v>
      </c>
    </row>
    <row r="6" spans="1:16" x14ac:dyDescent="0.3">
      <c r="A6" t="str">
        <f t="shared" si="0"/>
        <v>NSW:Murray Valley:Eucalyptus sideroxylon:Long</v>
      </c>
      <c r="B6" t="s">
        <v>23</v>
      </c>
      <c r="C6" t="s">
        <v>12</v>
      </c>
      <c r="D6" t="s">
        <v>57</v>
      </c>
      <c r="E6" t="s">
        <v>47</v>
      </c>
      <c r="F6">
        <v>-2.9657211999999999E-2</v>
      </c>
      <c r="G6">
        <v>17.028836760000001</v>
      </c>
      <c r="H6">
        <v>5.5</v>
      </c>
      <c r="I6">
        <v>14</v>
      </c>
      <c r="K6" t="str">
        <f t="shared" si="1"/>
        <v>Tasmania:Softwood:Short</v>
      </c>
      <c r="L6" t="s">
        <v>19</v>
      </c>
      <c r="M6" t="s">
        <v>79</v>
      </c>
      <c r="N6" t="s">
        <v>46</v>
      </c>
      <c r="O6">
        <v>3.3063741850000001</v>
      </c>
      <c r="P6">
        <v>-0.86588569999999998</v>
      </c>
    </row>
    <row r="7" spans="1:16" x14ac:dyDescent="0.3">
      <c r="A7" t="str">
        <f t="shared" si="0"/>
        <v>NSW:Murray Valley:Pinus radiata:Long</v>
      </c>
      <c r="B7" t="s">
        <v>23</v>
      </c>
      <c r="C7" t="s">
        <v>12</v>
      </c>
      <c r="D7" t="s">
        <v>55</v>
      </c>
      <c r="E7" t="s">
        <v>47</v>
      </c>
      <c r="F7">
        <v>-2.1935428999999999E-2</v>
      </c>
      <c r="G7">
        <v>15.48278414</v>
      </c>
      <c r="H7">
        <v>4</v>
      </c>
      <c r="I7">
        <v>14.9</v>
      </c>
      <c r="K7" t="str">
        <f t="shared" si="1"/>
        <v>Tasmania:Softwood:Long</v>
      </c>
      <c r="L7" t="s">
        <v>19</v>
      </c>
      <c r="M7" t="s">
        <v>79</v>
      </c>
      <c r="N7" t="s">
        <v>47</v>
      </c>
      <c r="O7">
        <v>3.3063741850000001</v>
      </c>
      <c r="P7">
        <v>-0.86588569999999998</v>
      </c>
    </row>
    <row r="8" spans="1:16" x14ac:dyDescent="0.3">
      <c r="A8" t="str">
        <f t="shared" si="0"/>
        <v>NSW:Bombala/East Gippsland:Eucalyptus globulus:Short</v>
      </c>
      <c r="B8" t="s">
        <v>23</v>
      </c>
      <c r="C8" t="s">
        <v>13</v>
      </c>
      <c r="D8" t="s">
        <v>10</v>
      </c>
      <c r="E8" t="s">
        <v>46</v>
      </c>
      <c r="F8">
        <v>-1.7483800000000001E-2</v>
      </c>
      <c r="G8">
        <v>11.7523158</v>
      </c>
      <c r="H8">
        <v>5.42</v>
      </c>
      <c r="I8">
        <v>16.100000000000001</v>
      </c>
      <c r="K8" t="str">
        <f t="shared" si="1"/>
        <v>Tasmania:Hardwood:Short</v>
      </c>
      <c r="L8" t="s">
        <v>19</v>
      </c>
      <c r="M8" t="s">
        <v>80</v>
      </c>
      <c r="N8" t="s">
        <v>46</v>
      </c>
      <c r="O8">
        <v>3.8620137350000001</v>
      </c>
      <c r="P8">
        <v>-1.1236824000000001</v>
      </c>
    </row>
    <row r="9" spans="1:16" x14ac:dyDescent="0.3">
      <c r="A9" t="str">
        <f t="shared" si="0"/>
        <v>NSW:Bombala/East Gippsland:Eucalyptus globulus:Long</v>
      </c>
      <c r="B9" t="s">
        <v>23</v>
      </c>
      <c r="C9" t="s">
        <v>13</v>
      </c>
      <c r="D9" t="s">
        <v>10</v>
      </c>
      <c r="E9" t="s">
        <v>47</v>
      </c>
      <c r="F9">
        <v>-2.08478E-2</v>
      </c>
      <c r="G9">
        <v>16.387727099999999</v>
      </c>
      <c r="H9">
        <v>5.0999999999999996</v>
      </c>
      <c r="I9">
        <v>17.5</v>
      </c>
      <c r="K9" t="str">
        <f t="shared" si="1"/>
        <v>Tasmania:Hardwood:Long</v>
      </c>
      <c r="L9" t="s">
        <v>19</v>
      </c>
      <c r="M9" t="s">
        <v>80</v>
      </c>
      <c r="N9" t="s">
        <v>47</v>
      </c>
      <c r="O9">
        <v>4.279536105</v>
      </c>
      <c r="P9">
        <v>-1.1236824000000001</v>
      </c>
    </row>
    <row r="10" spans="1:16" x14ac:dyDescent="0.3">
      <c r="A10" t="str">
        <f t="shared" si="0"/>
        <v>NSW:Bombala/East Gippsland:Pinus radiata:Long</v>
      </c>
      <c r="B10" t="s">
        <v>23</v>
      </c>
      <c r="C10" t="s">
        <v>13</v>
      </c>
      <c r="D10" t="s">
        <v>55</v>
      </c>
      <c r="E10" t="s">
        <v>47</v>
      </c>
      <c r="F10">
        <v>-1.8124899999999999E-2</v>
      </c>
      <c r="G10">
        <v>15.679737299999999</v>
      </c>
      <c r="H10">
        <v>5.0999999999999996</v>
      </c>
      <c r="I10">
        <v>17.5</v>
      </c>
      <c r="K10" t="str">
        <f t="shared" si="1"/>
        <v>Green Triangle:Softwood:Short</v>
      </c>
      <c r="L10" t="s">
        <v>17</v>
      </c>
      <c r="M10" t="s">
        <v>79</v>
      </c>
      <c r="N10" t="s">
        <v>46</v>
      </c>
      <c r="O10">
        <v>3.467098885</v>
      </c>
      <c r="P10">
        <v>-0.86588569999999998</v>
      </c>
    </row>
    <row r="11" spans="1:16" x14ac:dyDescent="0.3">
      <c r="A11" t="str">
        <f t="shared" si="0"/>
        <v>NSW:Southern Tablelands:Eucalyptus cladocalyx:Long</v>
      </c>
      <c r="B11" t="s">
        <v>23</v>
      </c>
      <c r="C11" t="s">
        <v>14</v>
      </c>
      <c r="D11" t="s">
        <v>56</v>
      </c>
      <c r="E11" t="s">
        <v>47</v>
      </c>
      <c r="F11">
        <v>-2.8743100000000001E-2</v>
      </c>
      <c r="G11">
        <v>15.997938</v>
      </c>
      <c r="H11">
        <v>4.5862999999999996</v>
      </c>
      <c r="I11">
        <v>12.5</v>
      </c>
      <c r="K11" t="str">
        <f t="shared" si="1"/>
        <v>Green Triangle:Softwood:Long</v>
      </c>
      <c r="L11" t="s">
        <v>17</v>
      </c>
      <c r="M11" t="s">
        <v>79</v>
      </c>
      <c r="N11" t="s">
        <v>47</v>
      </c>
      <c r="O11">
        <v>3.467098885</v>
      </c>
      <c r="P11">
        <v>-0.86588569999999998</v>
      </c>
    </row>
    <row r="12" spans="1:16" x14ac:dyDescent="0.3">
      <c r="A12" t="str">
        <f t="shared" si="0"/>
        <v>NSW:Southern Tablelands:Eucalyptus globulus:Short</v>
      </c>
      <c r="B12" t="s">
        <v>23</v>
      </c>
      <c r="C12" t="s">
        <v>14</v>
      </c>
      <c r="D12" t="s">
        <v>10</v>
      </c>
      <c r="E12" t="s">
        <v>46</v>
      </c>
      <c r="F12">
        <v>-2.2994500000000001E-2</v>
      </c>
      <c r="G12">
        <v>12.598350399999999</v>
      </c>
      <c r="H12">
        <v>4.5862999999999996</v>
      </c>
      <c r="I12">
        <v>12.5</v>
      </c>
      <c r="K12" t="str">
        <f t="shared" si="1"/>
        <v>Green Triangle:Hardwood:Short</v>
      </c>
      <c r="L12" t="s">
        <v>17</v>
      </c>
      <c r="M12" t="s">
        <v>80</v>
      </c>
      <c r="N12" t="s">
        <v>46</v>
      </c>
      <c r="O12">
        <v>3.6937613749999998</v>
      </c>
      <c r="P12">
        <v>-1.1236824000000001</v>
      </c>
    </row>
    <row r="13" spans="1:16" x14ac:dyDescent="0.3">
      <c r="A13" t="str">
        <f t="shared" si="0"/>
        <v>NSW:Southern Tablelands:Eucalyptus globulus:Long</v>
      </c>
      <c r="B13" t="s">
        <v>23</v>
      </c>
      <c r="C13" t="s">
        <v>14</v>
      </c>
      <c r="D13" t="s">
        <v>10</v>
      </c>
      <c r="E13" t="s">
        <v>47</v>
      </c>
      <c r="F13">
        <v>-2.8743100000000001E-2</v>
      </c>
      <c r="G13">
        <v>15.997938</v>
      </c>
      <c r="H13">
        <v>4.5862999999999996</v>
      </c>
      <c r="I13">
        <v>12.5</v>
      </c>
      <c r="K13" t="str">
        <f t="shared" si="1"/>
        <v>Green Triangle:Hardwood:Long</v>
      </c>
      <c r="L13" t="s">
        <v>17</v>
      </c>
      <c r="M13" t="s">
        <v>80</v>
      </c>
      <c r="N13" t="s">
        <v>47</v>
      </c>
      <c r="O13">
        <v>4.1112837449999997</v>
      </c>
      <c r="P13">
        <v>-1.1236824000000001</v>
      </c>
    </row>
    <row r="14" spans="1:16" x14ac:dyDescent="0.3">
      <c r="A14" t="str">
        <f t="shared" si="0"/>
        <v>NSW:Southern Tablelands:Eucalyptus sideroxylon:Long</v>
      </c>
      <c r="B14" t="s">
        <v>23</v>
      </c>
      <c r="C14" t="s">
        <v>14</v>
      </c>
      <c r="D14" t="s">
        <v>57</v>
      </c>
      <c r="E14" t="s">
        <v>47</v>
      </c>
      <c r="F14">
        <v>-2.8743100000000001E-2</v>
      </c>
      <c r="G14">
        <v>15.997938</v>
      </c>
      <c r="H14">
        <v>4.5862999999999996</v>
      </c>
      <c r="I14">
        <v>12.5</v>
      </c>
      <c r="K14" t="str">
        <f t="shared" si="1"/>
        <v>Lofty Block:Softwood:Short</v>
      </c>
      <c r="L14" t="s">
        <v>18</v>
      </c>
      <c r="M14" t="s">
        <v>79</v>
      </c>
      <c r="N14" t="s">
        <v>46</v>
      </c>
      <c r="O14">
        <v>3.4986387649999999</v>
      </c>
      <c r="P14">
        <v>-0.86588569999999998</v>
      </c>
    </row>
    <row r="15" spans="1:16" x14ac:dyDescent="0.3">
      <c r="A15" t="str">
        <f t="shared" si="0"/>
        <v>NSW:Southern Tablelands:Pinus radiata:Long</v>
      </c>
      <c r="B15" t="s">
        <v>23</v>
      </c>
      <c r="C15" t="s">
        <v>14</v>
      </c>
      <c r="D15" t="s">
        <v>55</v>
      </c>
      <c r="E15" t="s">
        <v>47</v>
      </c>
      <c r="F15">
        <v>-2.7098803000000001E-2</v>
      </c>
      <c r="G15">
        <v>15.89189672</v>
      </c>
      <c r="H15">
        <v>4.0999999999999996</v>
      </c>
      <c r="I15">
        <v>13.4</v>
      </c>
      <c r="K15" t="str">
        <f t="shared" si="1"/>
        <v>Lofty Block:Softwood:Long</v>
      </c>
      <c r="L15" t="s">
        <v>18</v>
      </c>
      <c r="M15" t="s">
        <v>79</v>
      </c>
      <c r="N15" t="s">
        <v>47</v>
      </c>
      <c r="O15">
        <v>3.4986387649999999</v>
      </c>
      <c r="P15">
        <v>-0.86588569999999998</v>
      </c>
    </row>
    <row r="16" spans="1:16" x14ac:dyDescent="0.3">
      <c r="A16" t="str">
        <f t="shared" si="0"/>
        <v>NSW:Central Tablelands:Eucalyptus cladocalyx:Long</v>
      </c>
      <c r="B16" t="s">
        <v>23</v>
      </c>
      <c r="C16" t="s">
        <v>15</v>
      </c>
      <c r="D16" t="s">
        <v>56</v>
      </c>
      <c r="E16" t="s">
        <v>47</v>
      </c>
      <c r="F16">
        <v>-3.9604300000000002E-2</v>
      </c>
      <c r="G16">
        <v>17.577776400000001</v>
      </c>
      <c r="H16">
        <v>4.3</v>
      </c>
      <c r="I16">
        <v>13.5</v>
      </c>
      <c r="K16" t="str">
        <f t="shared" si="1"/>
        <v>Lofty Block:Hardwood:Short</v>
      </c>
      <c r="L16" t="s">
        <v>18</v>
      </c>
      <c r="M16" t="s">
        <v>80</v>
      </c>
      <c r="N16" t="s">
        <v>46</v>
      </c>
      <c r="O16">
        <v>3.754509305</v>
      </c>
      <c r="P16">
        <v>-1.1236824000000001</v>
      </c>
    </row>
    <row r="17" spans="1:16" x14ac:dyDescent="0.3">
      <c r="A17" t="str">
        <f t="shared" si="0"/>
        <v>NSW:Central Tablelands:Eucalyptus globulus:Short</v>
      </c>
      <c r="B17" t="s">
        <v>23</v>
      </c>
      <c r="C17" t="s">
        <v>15</v>
      </c>
      <c r="D17" t="s">
        <v>10</v>
      </c>
      <c r="E17" t="s">
        <v>46</v>
      </c>
      <c r="F17">
        <v>-3.16834E-2</v>
      </c>
      <c r="G17">
        <v>13.8622212</v>
      </c>
      <c r="H17">
        <v>4.0999999999999996</v>
      </c>
      <c r="I17">
        <v>13.4</v>
      </c>
      <c r="K17" t="str">
        <f t="shared" si="1"/>
        <v>Lofty Block:Hardwood:Long</v>
      </c>
      <c r="L17" t="s">
        <v>18</v>
      </c>
      <c r="M17" t="s">
        <v>80</v>
      </c>
      <c r="N17" t="s">
        <v>47</v>
      </c>
      <c r="O17">
        <v>4.1720316750000004</v>
      </c>
      <c r="P17">
        <v>-1.1236824000000001</v>
      </c>
    </row>
    <row r="18" spans="1:16" x14ac:dyDescent="0.3">
      <c r="A18" t="str">
        <f t="shared" si="0"/>
        <v>NSW:Central Tablelands:Eucalyptus globulus:Long</v>
      </c>
      <c r="B18" t="s">
        <v>23</v>
      </c>
      <c r="C18" t="s">
        <v>15</v>
      </c>
      <c r="D18" t="s">
        <v>10</v>
      </c>
      <c r="E18" t="s">
        <v>47</v>
      </c>
      <c r="F18">
        <v>-3.9604300000000002E-2</v>
      </c>
      <c r="G18">
        <v>17.577776400000001</v>
      </c>
      <c r="H18">
        <v>4.3</v>
      </c>
      <c r="I18">
        <v>13.5</v>
      </c>
      <c r="K18" t="str">
        <f t="shared" si="1"/>
        <v>Central Victoria:Softwood:Short</v>
      </c>
      <c r="L18" t="s">
        <v>20</v>
      </c>
      <c r="M18" t="s">
        <v>79</v>
      </c>
      <c r="N18" t="s">
        <v>46</v>
      </c>
      <c r="O18">
        <v>3.3535234250000001</v>
      </c>
      <c r="P18">
        <v>-0.86588569999999998</v>
      </c>
    </row>
    <row r="19" spans="1:16" x14ac:dyDescent="0.3">
      <c r="A19" t="str">
        <f t="shared" si="0"/>
        <v>NSW:Central Tablelands:Eucalyptus sideroxylon:Long</v>
      </c>
      <c r="B19" t="s">
        <v>23</v>
      </c>
      <c r="C19" t="s">
        <v>15</v>
      </c>
      <c r="D19" t="s">
        <v>57</v>
      </c>
      <c r="E19" t="s">
        <v>47</v>
      </c>
      <c r="F19">
        <v>-3.9604300000000002E-2</v>
      </c>
      <c r="G19">
        <v>17.577776400000001</v>
      </c>
      <c r="H19">
        <v>4.3</v>
      </c>
      <c r="I19">
        <v>13.5</v>
      </c>
      <c r="K19" t="str">
        <f t="shared" si="1"/>
        <v>Central Victoria:Softwood:Long</v>
      </c>
      <c r="L19" t="s">
        <v>20</v>
      </c>
      <c r="M19" t="s">
        <v>79</v>
      </c>
      <c r="N19" t="s">
        <v>47</v>
      </c>
      <c r="O19">
        <v>3.3535234250000001</v>
      </c>
      <c r="P19">
        <v>-0.86588569999999998</v>
      </c>
    </row>
    <row r="20" spans="1:16" x14ac:dyDescent="0.3">
      <c r="A20" t="str">
        <f t="shared" si="0"/>
        <v>NSW:Central Tablelands:Pinus radiata:Long</v>
      </c>
      <c r="B20" t="s">
        <v>23</v>
      </c>
      <c r="C20" t="s">
        <v>15</v>
      </c>
      <c r="D20" t="s">
        <v>55</v>
      </c>
      <c r="E20" t="s">
        <v>47</v>
      </c>
      <c r="F20">
        <v>-2.7358400000000001E-2</v>
      </c>
      <c r="G20">
        <v>16.032438200000001</v>
      </c>
      <c r="H20">
        <v>4.3</v>
      </c>
      <c r="I20">
        <v>13.5</v>
      </c>
      <c r="K20" t="str">
        <f t="shared" si="1"/>
        <v>Central Victoria:Hardwood:Short</v>
      </c>
      <c r="L20" t="s">
        <v>20</v>
      </c>
      <c r="M20" t="s">
        <v>80</v>
      </c>
      <c r="N20" t="s">
        <v>46</v>
      </c>
      <c r="O20">
        <v>3.7063132649999999</v>
      </c>
      <c r="P20">
        <v>-1.1236824000000001</v>
      </c>
    </row>
    <row r="21" spans="1:16" x14ac:dyDescent="0.3">
      <c r="A21" t="str">
        <f t="shared" si="0"/>
        <v>NSW:Northern Tablelands:Eucalyptus cladocalyx:Long</v>
      </c>
      <c r="B21" t="s">
        <v>23</v>
      </c>
      <c r="C21" t="s">
        <v>16</v>
      </c>
      <c r="D21" t="s">
        <v>56</v>
      </c>
      <c r="E21" t="s">
        <v>47</v>
      </c>
      <c r="F21">
        <v>-2.33235E-2</v>
      </c>
      <c r="G21">
        <v>16.8663624</v>
      </c>
      <c r="H21">
        <v>8</v>
      </c>
      <c r="I21">
        <v>17.100000000000001</v>
      </c>
      <c r="K21" t="str">
        <f t="shared" si="1"/>
        <v>Central Victoria:Hardwood:Long</v>
      </c>
      <c r="L21" t="s">
        <v>20</v>
      </c>
      <c r="M21" t="s">
        <v>80</v>
      </c>
      <c r="N21" t="s">
        <v>47</v>
      </c>
      <c r="O21">
        <v>4.1238356349999998</v>
      </c>
      <c r="P21">
        <v>-1.1236824000000001</v>
      </c>
    </row>
    <row r="22" spans="1:16" x14ac:dyDescent="0.3">
      <c r="A22" t="str">
        <f t="shared" si="0"/>
        <v>NSW:Northern Tablelands:Eucalyptus globulus:Short</v>
      </c>
      <c r="B22" t="s">
        <v>23</v>
      </c>
      <c r="C22" t="s">
        <v>16</v>
      </c>
      <c r="D22" t="s">
        <v>10</v>
      </c>
      <c r="E22" t="s">
        <v>46</v>
      </c>
      <c r="F22">
        <v>-1.35061E-2</v>
      </c>
      <c r="G22">
        <v>10.8243069</v>
      </c>
      <c r="H22">
        <v>3.7</v>
      </c>
      <c r="I22">
        <v>17.100000000000001</v>
      </c>
      <c r="K22" t="str">
        <f t="shared" si="1"/>
        <v>Murray Valley:Softwood:Short</v>
      </c>
      <c r="L22" t="s">
        <v>12</v>
      </c>
      <c r="M22" t="s">
        <v>79</v>
      </c>
      <c r="N22" t="s">
        <v>46</v>
      </c>
      <c r="O22">
        <v>3.3304454450000001</v>
      </c>
      <c r="P22">
        <v>-0.86588569999999998</v>
      </c>
    </row>
    <row r="23" spans="1:16" x14ac:dyDescent="0.3">
      <c r="A23" t="str">
        <f t="shared" si="0"/>
        <v>NSW:Northern Tablelands:Eucalyptus globulus:Long</v>
      </c>
      <c r="B23" t="s">
        <v>23</v>
      </c>
      <c r="C23" t="s">
        <v>16</v>
      </c>
      <c r="D23" t="s">
        <v>10</v>
      </c>
      <c r="E23" t="s">
        <v>47</v>
      </c>
      <c r="F23">
        <v>-2.33235E-2</v>
      </c>
      <c r="G23">
        <v>16.866362299999999</v>
      </c>
      <c r="H23">
        <v>8</v>
      </c>
      <c r="I23">
        <v>17.100000000000001</v>
      </c>
      <c r="K23" t="str">
        <f t="shared" si="1"/>
        <v>Murray Valley:Softwood:Long</v>
      </c>
      <c r="L23" t="s">
        <v>12</v>
      </c>
      <c r="M23" t="s">
        <v>79</v>
      </c>
      <c r="N23" t="s">
        <v>47</v>
      </c>
      <c r="O23">
        <v>3.3304454450000001</v>
      </c>
      <c r="P23">
        <v>-0.86588569999999998</v>
      </c>
    </row>
    <row r="24" spans="1:16" x14ac:dyDescent="0.3">
      <c r="A24" t="str">
        <f t="shared" si="0"/>
        <v>NSW:Northern Tablelands:Eucalyptus sideroxylon:Long</v>
      </c>
      <c r="B24" t="s">
        <v>23</v>
      </c>
      <c r="C24" t="s">
        <v>16</v>
      </c>
      <c r="D24" t="s">
        <v>57</v>
      </c>
      <c r="E24" t="s">
        <v>47</v>
      </c>
      <c r="F24">
        <v>-2.33235E-2</v>
      </c>
      <c r="G24">
        <v>16.8663624</v>
      </c>
      <c r="H24">
        <v>8</v>
      </c>
      <c r="I24">
        <v>17.100000000000001</v>
      </c>
      <c r="K24" t="str">
        <f t="shared" si="1"/>
        <v>Murray Valley:Hardwood:Short</v>
      </c>
      <c r="L24" t="s">
        <v>12</v>
      </c>
      <c r="M24" t="s">
        <v>80</v>
      </c>
      <c r="N24" t="s">
        <v>46</v>
      </c>
      <c r="O24">
        <v>3.633206645</v>
      </c>
      <c r="P24">
        <v>-1.1236824000000001</v>
      </c>
    </row>
    <row r="25" spans="1:16" x14ac:dyDescent="0.3">
      <c r="A25" t="str">
        <f t="shared" si="0"/>
        <v>NSW:Northern Tablelands:Pinus radiata:Long</v>
      </c>
      <c r="B25" t="s">
        <v>23</v>
      </c>
      <c r="C25" t="s">
        <v>16</v>
      </c>
      <c r="D25" t="s">
        <v>55</v>
      </c>
      <c r="E25" t="s">
        <v>47</v>
      </c>
      <c r="F25">
        <v>-1.8092500000000001E-2</v>
      </c>
      <c r="G25">
        <v>15.719218100000001</v>
      </c>
      <c r="H25">
        <v>5.2</v>
      </c>
      <c r="I25">
        <v>17.600000000000001</v>
      </c>
      <c r="K25" t="str">
        <f t="shared" si="1"/>
        <v>Murray Valley:Hardwood:Long</v>
      </c>
      <c r="L25" t="s">
        <v>12</v>
      </c>
      <c r="M25" t="s">
        <v>80</v>
      </c>
      <c r="N25" t="s">
        <v>47</v>
      </c>
      <c r="O25">
        <v>4.0507290149999999</v>
      </c>
      <c r="P25">
        <v>-1.1236824000000001</v>
      </c>
    </row>
    <row r="26" spans="1:16" x14ac:dyDescent="0.3">
      <c r="A26" t="str">
        <f t="shared" si="0"/>
        <v>NSW:North Coast:Corymbia variegata:Long</v>
      </c>
      <c r="B26" t="s">
        <v>23</v>
      </c>
      <c r="C26" t="s">
        <v>58</v>
      </c>
      <c r="D26" t="s">
        <v>59</v>
      </c>
      <c r="E26" t="s">
        <v>47</v>
      </c>
      <c r="F26">
        <v>-2.1056097999999999E-2</v>
      </c>
      <c r="G26">
        <v>21.003611509999999</v>
      </c>
      <c r="H26">
        <v>9</v>
      </c>
      <c r="I26">
        <v>21.2</v>
      </c>
      <c r="K26" t="str">
        <f t="shared" si="1"/>
        <v>Central Gippsland:Softwood:Short</v>
      </c>
      <c r="L26" t="s">
        <v>21</v>
      </c>
      <c r="M26" t="s">
        <v>79</v>
      </c>
      <c r="N26" t="s">
        <v>46</v>
      </c>
      <c r="O26">
        <v>3.304901825</v>
      </c>
      <c r="P26">
        <v>-0.86588569999999998</v>
      </c>
    </row>
    <row r="27" spans="1:16" x14ac:dyDescent="0.3">
      <c r="A27" t="str">
        <f t="shared" si="0"/>
        <v>NSW:North Coast:Eucalyptus dunnii:Long</v>
      </c>
      <c r="B27" t="s">
        <v>23</v>
      </c>
      <c r="C27" t="s">
        <v>58</v>
      </c>
      <c r="D27" t="s">
        <v>60</v>
      </c>
      <c r="E27" t="s">
        <v>47</v>
      </c>
      <c r="F27">
        <v>-2.1056097999999999E-2</v>
      </c>
      <c r="G27">
        <v>21.003611509999999</v>
      </c>
      <c r="H27">
        <v>9</v>
      </c>
      <c r="I27">
        <v>21.2</v>
      </c>
      <c r="K27" t="str">
        <f t="shared" si="1"/>
        <v>Central Gippsland:Softwood:Long</v>
      </c>
      <c r="L27" t="s">
        <v>21</v>
      </c>
      <c r="M27" t="s">
        <v>79</v>
      </c>
      <c r="N27" t="s">
        <v>47</v>
      </c>
      <c r="O27">
        <v>3.304901825</v>
      </c>
      <c r="P27">
        <v>-0.86588569999999998</v>
      </c>
    </row>
    <row r="28" spans="1:16" x14ac:dyDescent="0.3">
      <c r="A28" t="str">
        <f t="shared" si="0"/>
        <v>NSW:North Coast:Eucalyptus grandis:Long</v>
      </c>
      <c r="B28" t="s">
        <v>23</v>
      </c>
      <c r="C28" t="s">
        <v>58</v>
      </c>
      <c r="D28" t="s">
        <v>61</v>
      </c>
      <c r="E28" t="s">
        <v>47</v>
      </c>
      <c r="F28">
        <v>-2.1056097999999999E-2</v>
      </c>
      <c r="G28">
        <v>21.003611509999999</v>
      </c>
      <c r="H28">
        <v>9</v>
      </c>
      <c r="I28">
        <v>21.2</v>
      </c>
      <c r="K28" t="str">
        <f t="shared" si="1"/>
        <v>Central Gippsland:Hardwood:Short</v>
      </c>
      <c r="L28" t="s">
        <v>21</v>
      </c>
      <c r="M28" t="s">
        <v>80</v>
      </c>
      <c r="N28" t="s">
        <v>46</v>
      </c>
      <c r="O28">
        <v>3.487875845</v>
      </c>
      <c r="P28">
        <v>-1.1236824000000001</v>
      </c>
    </row>
    <row r="29" spans="1:16" x14ac:dyDescent="0.3">
      <c r="A29" t="str">
        <f t="shared" si="0"/>
        <v>NSW:North Coast:Eucalyptus pilularis:Long</v>
      </c>
      <c r="B29" t="s">
        <v>23</v>
      </c>
      <c r="C29" t="s">
        <v>58</v>
      </c>
      <c r="D29" t="s">
        <v>62</v>
      </c>
      <c r="E29" t="s">
        <v>47</v>
      </c>
      <c r="F29">
        <v>-2.1056097999999999E-2</v>
      </c>
      <c r="G29">
        <v>21.003611509999999</v>
      </c>
      <c r="H29">
        <v>9</v>
      </c>
      <c r="I29">
        <v>21.2</v>
      </c>
      <c r="K29" t="str">
        <f t="shared" si="1"/>
        <v>Central Gippsland:Hardwood:Long</v>
      </c>
      <c r="L29" t="s">
        <v>21</v>
      </c>
      <c r="M29" t="s">
        <v>80</v>
      </c>
      <c r="N29" t="s">
        <v>47</v>
      </c>
      <c r="O29">
        <v>3.905398215</v>
      </c>
      <c r="P29">
        <v>-1.1236824000000001</v>
      </c>
    </row>
    <row r="30" spans="1:16" x14ac:dyDescent="0.3">
      <c r="A30" t="str">
        <f t="shared" si="0"/>
        <v>NSW:North Coast:Pinus elliottii:Long</v>
      </c>
      <c r="B30" t="s">
        <v>23</v>
      </c>
      <c r="C30" t="s">
        <v>58</v>
      </c>
      <c r="D30" t="s">
        <v>63</v>
      </c>
      <c r="E30" t="s">
        <v>47</v>
      </c>
      <c r="F30">
        <v>-1.2667766E-2</v>
      </c>
      <c r="G30">
        <v>16.79844464</v>
      </c>
      <c r="H30">
        <v>7.1254</v>
      </c>
      <c r="I30">
        <v>23.3</v>
      </c>
      <c r="K30" t="str">
        <f t="shared" si="1"/>
        <v>Bombala/East Gippsland:Softwood:Short</v>
      </c>
      <c r="L30" t="s">
        <v>13</v>
      </c>
      <c r="M30" t="s">
        <v>79</v>
      </c>
      <c r="N30" t="s">
        <v>46</v>
      </c>
      <c r="O30">
        <v>3.213712535</v>
      </c>
      <c r="P30">
        <v>-0.86588569999999998</v>
      </c>
    </row>
    <row r="31" spans="1:16" x14ac:dyDescent="0.3">
      <c r="A31" t="str">
        <f t="shared" si="0"/>
        <v>NSW:North Coast:Pinus taeda:Long</v>
      </c>
      <c r="B31" t="s">
        <v>23</v>
      </c>
      <c r="C31" t="s">
        <v>58</v>
      </c>
      <c r="D31" t="s">
        <v>64</v>
      </c>
      <c r="E31" t="s">
        <v>47</v>
      </c>
      <c r="F31">
        <v>-1.2667766E-2</v>
      </c>
      <c r="G31">
        <v>16.79844464</v>
      </c>
      <c r="H31">
        <v>7.1254</v>
      </c>
      <c r="I31">
        <v>23.3</v>
      </c>
      <c r="K31" t="str">
        <f t="shared" si="1"/>
        <v>Bombala/East Gippsland:Softwood:Long</v>
      </c>
      <c r="L31" t="s">
        <v>13</v>
      </c>
      <c r="M31" t="s">
        <v>79</v>
      </c>
      <c r="N31" t="s">
        <v>47</v>
      </c>
      <c r="O31">
        <v>3.213712535</v>
      </c>
      <c r="P31">
        <v>-0.86588569999999998</v>
      </c>
    </row>
    <row r="32" spans="1:16" x14ac:dyDescent="0.3">
      <c r="A32" t="str">
        <f t="shared" si="0"/>
        <v>NT:Northern Territory:Acacia mangium:Short</v>
      </c>
      <c r="B32" t="s">
        <v>28</v>
      </c>
      <c r="C32" t="s">
        <v>43</v>
      </c>
      <c r="D32" t="s">
        <v>9</v>
      </c>
      <c r="E32" t="s">
        <v>46</v>
      </c>
      <c r="F32">
        <v>-1.270948E-2</v>
      </c>
      <c r="G32">
        <v>6.2527099230000003</v>
      </c>
      <c r="H32">
        <v>5.35</v>
      </c>
      <c r="I32">
        <v>12</v>
      </c>
      <c r="K32" t="str">
        <f t="shared" si="1"/>
        <v>Bombala/East Gippsland:Hardwood:Short</v>
      </c>
      <c r="L32" t="s">
        <v>13</v>
      </c>
      <c r="M32" t="s">
        <v>80</v>
      </c>
      <c r="N32" t="s">
        <v>46</v>
      </c>
      <c r="O32">
        <v>3.6515414449999999</v>
      </c>
      <c r="P32">
        <v>-1.1236824000000001</v>
      </c>
    </row>
    <row r="33" spans="1:16" x14ac:dyDescent="0.3">
      <c r="A33" t="str">
        <f t="shared" si="0"/>
        <v>NT:Northern Territory:Acacia mangium:Long</v>
      </c>
      <c r="B33" t="s">
        <v>28</v>
      </c>
      <c r="C33" t="s">
        <v>43</v>
      </c>
      <c r="D33" t="s">
        <v>9</v>
      </c>
      <c r="E33" t="s">
        <v>47</v>
      </c>
      <c r="F33">
        <v>-1.270948E-2</v>
      </c>
      <c r="G33">
        <v>6.2527099230000003</v>
      </c>
      <c r="H33">
        <v>5.35</v>
      </c>
      <c r="I33">
        <v>12</v>
      </c>
      <c r="K33" t="str">
        <f t="shared" si="1"/>
        <v>Bombala/East Gippsland:Hardwood:Long</v>
      </c>
      <c r="L33" t="s">
        <v>13</v>
      </c>
      <c r="M33" t="s">
        <v>80</v>
      </c>
      <c r="N33" t="s">
        <v>47</v>
      </c>
      <c r="O33">
        <v>4.0690638149999998</v>
      </c>
      <c r="P33">
        <v>-1.1236824000000001</v>
      </c>
    </row>
    <row r="34" spans="1:16" x14ac:dyDescent="0.3">
      <c r="A34" t="str">
        <f t="shared" si="0"/>
        <v>NT:Northern Territory:Callitris intratropica:Long</v>
      </c>
      <c r="B34" t="s">
        <v>28</v>
      </c>
      <c r="C34" t="s">
        <v>43</v>
      </c>
      <c r="D34" t="s">
        <v>65</v>
      </c>
      <c r="E34" t="s">
        <v>47</v>
      </c>
      <c r="F34">
        <v>-4.8812899999999999E-2</v>
      </c>
      <c r="G34">
        <v>25.5722524</v>
      </c>
      <c r="H34">
        <v>6</v>
      </c>
      <c r="I34">
        <v>12</v>
      </c>
      <c r="K34" t="str">
        <f t="shared" si="1"/>
        <v>Southern Tablelands:Softwood:Short</v>
      </c>
      <c r="L34" t="s">
        <v>14</v>
      </c>
      <c r="M34" t="s">
        <v>79</v>
      </c>
      <c r="N34" t="s">
        <v>46</v>
      </c>
      <c r="O34">
        <v>3.3230926850000002</v>
      </c>
      <c r="P34">
        <v>-0.86588569999999998</v>
      </c>
    </row>
    <row r="35" spans="1:16" x14ac:dyDescent="0.3">
      <c r="A35" t="str">
        <f t="shared" si="0"/>
        <v>NT:Northern Territory:Pinus carribaea var. hondurensis:Long</v>
      </c>
      <c r="B35" t="s">
        <v>28</v>
      </c>
      <c r="C35" t="s">
        <v>43</v>
      </c>
      <c r="D35" t="s">
        <v>66</v>
      </c>
      <c r="E35" t="s">
        <v>47</v>
      </c>
      <c r="F35">
        <v>-6.8338098E-2</v>
      </c>
      <c r="G35">
        <v>23.801153379999999</v>
      </c>
      <c r="H35">
        <v>6</v>
      </c>
      <c r="I35">
        <v>12</v>
      </c>
      <c r="K35" t="str">
        <f t="shared" si="1"/>
        <v>Southern Tablelands:Softwood:Long</v>
      </c>
      <c r="L35" t="s">
        <v>14</v>
      </c>
      <c r="M35" t="s">
        <v>79</v>
      </c>
      <c r="N35" t="s">
        <v>47</v>
      </c>
      <c r="O35">
        <v>3.3230926850000002</v>
      </c>
      <c r="P35">
        <v>-0.86588569999999998</v>
      </c>
    </row>
    <row r="36" spans="1:16" x14ac:dyDescent="0.3">
      <c r="A36" t="str">
        <f t="shared" si="0"/>
        <v>Qld:South East Queensland:Araucaria cunninghamii:Long</v>
      </c>
      <c r="B36" t="s">
        <v>67</v>
      </c>
      <c r="C36" t="s">
        <v>44</v>
      </c>
      <c r="D36" t="s">
        <v>68</v>
      </c>
      <c r="E36" t="s">
        <v>47</v>
      </c>
      <c r="F36">
        <v>-1.5904841999999999E-2</v>
      </c>
      <c r="G36">
        <v>18.207986080000001</v>
      </c>
      <c r="H36">
        <v>7</v>
      </c>
      <c r="I36">
        <v>22.6</v>
      </c>
      <c r="K36" t="str">
        <f t="shared" si="1"/>
        <v>Central Tablelands:Softwood:Short</v>
      </c>
      <c r="L36" t="s">
        <v>15</v>
      </c>
      <c r="M36" t="s">
        <v>79</v>
      </c>
      <c r="N36" t="s">
        <v>46</v>
      </c>
      <c r="O36">
        <v>3.247463035</v>
      </c>
      <c r="P36">
        <v>-0.86588569999999998</v>
      </c>
    </row>
    <row r="37" spans="1:16" x14ac:dyDescent="0.3">
      <c r="A37" t="str">
        <f t="shared" si="0"/>
        <v>Qld:South East Queensland:Corymbia citriodora var variegata:Long</v>
      </c>
      <c r="B37" t="s">
        <v>67</v>
      </c>
      <c r="C37" t="s">
        <v>44</v>
      </c>
      <c r="D37" t="s">
        <v>69</v>
      </c>
      <c r="E37" t="s">
        <v>47</v>
      </c>
      <c r="F37">
        <v>-1.7913034000000001E-2</v>
      </c>
      <c r="G37">
        <v>17.40598863</v>
      </c>
      <c r="H37">
        <v>9</v>
      </c>
      <c r="I37">
        <v>21</v>
      </c>
      <c r="K37" t="str">
        <f t="shared" si="1"/>
        <v>Central Tablelands:Softwood:Long</v>
      </c>
      <c r="L37" t="s">
        <v>15</v>
      </c>
      <c r="M37" t="s">
        <v>79</v>
      </c>
      <c r="N37" t="s">
        <v>47</v>
      </c>
      <c r="O37">
        <v>3.247463035</v>
      </c>
      <c r="P37">
        <v>-0.86588569999999998</v>
      </c>
    </row>
    <row r="38" spans="1:16" x14ac:dyDescent="0.3">
      <c r="A38" t="str">
        <f t="shared" si="0"/>
        <v>Qld:South East Queensland:Eucalyptus argophloia:Long</v>
      </c>
      <c r="B38" t="s">
        <v>67</v>
      </c>
      <c r="C38" t="s">
        <v>44</v>
      </c>
      <c r="D38" t="s">
        <v>70</v>
      </c>
      <c r="E38" t="s">
        <v>47</v>
      </c>
      <c r="F38">
        <v>-1.7913034000000001E-2</v>
      </c>
      <c r="G38">
        <v>17.40598863</v>
      </c>
      <c r="H38">
        <v>9</v>
      </c>
      <c r="I38">
        <v>21</v>
      </c>
      <c r="K38" t="str">
        <f t="shared" si="1"/>
        <v>Northern Tablelands:Softwood:Short</v>
      </c>
      <c r="L38" t="s">
        <v>16</v>
      </c>
      <c r="M38" t="s">
        <v>79</v>
      </c>
      <c r="N38" t="s">
        <v>46</v>
      </c>
      <c r="O38">
        <v>3.1412907350000001</v>
      </c>
      <c r="P38">
        <v>-0.86588569999999998</v>
      </c>
    </row>
    <row r="39" spans="1:16" x14ac:dyDescent="0.3">
      <c r="A39" t="str">
        <f t="shared" si="0"/>
        <v>Qld:South East Queensland:Eucalyptus cloeziana:Short</v>
      </c>
      <c r="B39" t="s">
        <v>67</v>
      </c>
      <c r="C39" t="s">
        <v>44</v>
      </c>
      <c r="D39" t="s">
        <v>7</v>
      </c>
      <c r="E39" t="s">
        <v>46</v>
      </c>
      <c r="F39">
        <v>-9.8007939999999998E-3</v>
      </c>
      <c r="G39">
        <v>10.88538554</v>
      </c>
      <c r="H39">
        <v>5</v>
      </c>
      <c r="I39">
        <v>22</v>
      </c>
      <c r="K39" t="str">
        <f t="shared" si="1"/>
        <v>Northern Tablelands:Softwood:Long</v>
      </c>
      <c r="L39" t="s">
        <v>16</v>
      </c>
      <c r="M39" t="s">
        <v>79</v>
      </c>
      <c r="N39" t="s">
        <v>47</v>
      </c>
      <c r="O39">
        <v>3.1412907350000001</v>
      </c>
      <c r="P39">
        <v>-0.86588569999999998</v>
      </c>
    </row>
    <row r="40" spans="1:16" x14ac:dyDescent="0.3">
      <c r="A40" t="str">
        <f t="shared" si="0"/>
        <v>Qld:South East Queensland:Eucalyptus cloeziana:Long</v>
      </c>
      <c r="B40" t="s">
        <v>67</v>
      </c>
      <c r="C40" t="s">
        <v>44</v>
      </c>
      <c r="D40" t="s">
        <v>7</v>
      </c>
      <c r="E40" t="s">
        <v>47</v>
      </c>
      <c r="F40">
        <v>-1.7913034000000001E-2</v>
      </c>
      <c r="G40">
        <v>17.40598863</v>
      </c>
      <c r="H40">
        <v>9</v>
      </c>
      <c r="I40">
        <v>21</v>
      </c>
      <c r="K40" t="str">
        <f t="shared" si="1"/>
        <v>Northern Tablelands:Hardwood:Short</v>
      </c>
      <c r="L40" t="s">
        <v>16</v>
      </c>
      <c r="M40" t="s">
        <v>80</v>
      </c>
      <c r="N40" t="s">
        <v>46</v>
      </c>
      <c r="O40">
        <v>3.6013925449999999</v>
      </c>
      <c r="P40">
        <v>-1.1236824000000001</v>
      </c>
    </row>
    <row r="41" spans="1:16" x14ac:dyDescent="0.3">
      <c r="A41" t="str">
        <f t="shared" si="0"/>
        <v>Qld:South East Queensland:Eucalyptus dunnii:Long</v>
      </c>
      <c r="B41" t="s">
        <v>67</v>
      </c>
      <c r="C41" t="s">
        <v>44</v>
      </c>
      <c r="D41" t="s">
        <v>60</v>
      </c>
      <c r="E41" t="s">
        <v>47</v>
      </c>
      <c r="F41">
        <v>-1.7913034000000001E-2</v>
      </c>
      <c r="G41">
        <v>17.40598863</v>
      </c>
      <c r="H41">
        <v>9</v>
      </c>
      <c r="I41">
        <v>21</v>
      </c>
      <c r="K41" t="str">
        <f t="shared" si="1"/>
        <v>Northern Tablelands:Hardwood:Long</v>
      </c>
      <c r="L41" t="s">
        <v>16</v>
      </c>
      <c r="M41" t="s">
        <v>80</v>
      </c>
      <c r="N41" t="s">
        <v>47</v>
      </c>
      <c r="O41">
        <v>4.0189149149999999</v>
      </c>
      <c r="P41">
        <v>-1.1236824000000001</v>
      </c>
    </row>
    <row r="42" spans="1:16" x14ac:dyDescent="0.3">
      <c r="A42" t="str">
        <f t="shared" si="0"/>
        <v>Qld:South East Queensland:Eucalyptus pilularis:Long</v>
      </c>
      <c r="B42" t="s">
        <v>67</v>
      </c>
      <c r="C42" t="s">
        <v>44</v>
      </c>
      <c r="D42" t="s">
        <v>62</v>
      </c>
      <c r="E42" t="s">
        <v>47</v>
      </c>
      <c r="F42">
        <v>-1.7913034000000001E-2</v>
      </c>
      <c r="G42">
        <v>17.40598863</v>
      </c>
      <c r="H42">
        <v>9</v>
      </c>
      <c r="I42">
        <v>21</v>
      </c>
      <c r="K42" t="str">
        <f t="shared" si="1"/>
        <v>North Coast:Softwood:Short</v>
      </c>
      <c r="L42" t="s">
        <v>58</v>
      </c>
      <c r="M42" t="s">
        <v>79</v>
      </c>
      <c r="N42" t="s">
        <v>46</v>
      </c>
      <c r="O42">
        <v>3.0717646350000001</v>
      </c>
      <c r="P42">
        <v>-0.86588569999999998</v>
      </c>
    </row>
    <row r="43" spans="1:16" x14ac:dyDescent="0.3">
      <c r="A43" t="str">
        <f t="shared" si="0"/>
        <v>Qld:South East Queensland:Pinus carribaea var. hondurensis:Long</v>
      </c>
      <c r="B43" t="s">
        <v>67</v>
      </c>
      <c r="C43" t="s">
        <v>44</v>
      </c>
      <c r="D43" t="s">
        <v>66</v>
      </c>
      <c r="E43" t="s">
        <v>47</v>
      </c>
      <c r="F43">
        <v>-1.1809371000000001E-2</v>
      </c>
      <c r="G43">
        <v>16.094443070000001</v>
      </c>
      <c r="H43">
        <v>5.0999999999999996</v>
      </c>
      <c r="I43">
        <v>22.6</v>
      </c>
      <c r="K43" t="str">
        <f t="shared" si="1"/>
        <v>North Coast:Softwood:Long</v>
      </c>
      <c r="L43" t="s">
        <v>58</v>
      </c>
      <c r="M43" t="s">
        <v>79</v>
      </c>
      <c r="N43" t="s">
        <v>47</v>
      </c>
      <c r="O43">
        <v>3.0717646350000001</v>
      </c>
      <c r="P43">
        <v>-0.86588569999999998</v>
      </c>
    </row>
    <row r="44" spans="1:16" x14ac:dyDescent="0.3">
      <c r="A44" t="str">
        <f t="shared" si="0"/>
        <v>Qld:South East Queensland:Pinus elliottii:Long</v>
      </c>
      <c r="B44" t="s">
        <v>67</v>
      </c>
      <c r="C44" t="s">
        <v>44</v>
      </c>
      <c r="D44" t="s">
        <v>63</v>
      </c>
      <c r="E44" t="s">
        <v>47</v>
      </c>
      <c r="F44">
        <v>-1.1809371000000001E-2</v>
      </c>
      <c r="G44">
        <v>16.094443070000001</v>
      </c>
      <c r="H44">
        <v>5.0999999999999996</v>
      </c>
      <c r="I44">
        <v>22.6</v>
      </c>
      <c r="K44" t="str">
        <f t="shared" si="1"/>
        <v>North Coast:Hardwood:Short</v>
      </c>
      <c r="L44" t="s">
        <v>58</v>
      </c>
      <c r="M44" t="s">
        <v>80</v>
      </c>
      <c r="N44" t="s">
        <v>46</v>
      </c>
      <c r="O44">
        <v>3.7221382250000001</v>
      </c>
      <c r="P44">
        <v>-1.1236824000000001</v>
      </c>
    </row>
    <row r="45" spans="1:16" x14ac:dyDescent="0.3">
      <c r="A45" t="str">
        <f t="shared" si="0"/>
        <v>Qld:South East Queensland:Pinus hybrids:Long</v>
      </c>
      <c r="B45" t="s">
        <v>67</v>
      </c>
      <c r="C45" t="s">
        <v>44</v>
      </c>
      <c r="D45" t="s">
        <v>71</v>
      </c>
      <c r="E45" t="s">
        <v>47</v>
      </c>
      <c r="F45">
        <v>-1.1809371000000001E-2</v>
      </c>
      <c r="G45">
        <v>16.094443070000001</v>
      </c>
      <c r="H45">
        <v>5.0999999999999996</v>
      </c>
      <c r="I45">
        <v>22.6</v>
      </c>
      <c r="K45" t="str">
        <f t="shared" si="1"/>
        <v>North Coast:Hardwood:Long</v>
      </c>
      <c r="L45" t="s">
        <v>58</v>
      </c>
      <c r="M45" t="s">
        <v>80</v>
      </c>
      <c r="N45" t="s">
        <v>47</v>
      </c>
      <c r="O45">
        <v>4.1396605949999996</v>
      </c>
      <c r="P45">
        <v>-1.1236824000000001</v>
      </c>
    </row>
    <row r="46" spans="1:16" x14ac:dyDescent="0.3">
      <c r="A46" t="str">
        <f t="shared" si="0"/>
        <v>Qld:Northern Queensland:Araucaria cunninghamii:Long</v>
      </c>
      <c r="B46" t="s">
        <v>67</v>
      </c>
      <c r="C46" t="s">
        <v>45</v>
      </c>
      <c r="D46" t="s">
        <v>68</v>
      </c>
      <c r="E46" t="s">
        <v>47</v>
      </c>
      <c r="F46">
        <v>-1.1767244E-2</v>
      </c>
      <c r="G46">
        <v>17.2580603</v>
      </c>
      <c r="H46">
        <v>5.7</v>
      </c>
      <c r="I46">
        <v>26</v>
      </c>
      <c r="K46" t="str">
        <f t="shared" si="1"/>
        <v>South East Queensland:Softwood:Short</v>
      </c>
      <c r="L46" t="s">
        <v>44</v>
      </c>
      <c r="M46" t="s">
        <v>79</v>
      </c>
      <c r="N46" t="s">
        <v>46</v>
      </c>
      <c r="O46">
        <v>3.111554935</v>
      </c>
      <c r="P46">
        <v>-0.86588569999999998</v>
      </c>
    </row>
    <row r="47" spans="1:16" x14ac:dyDescent="0.3">
      <c r="A47" t="str">
        <f t="shared" si="0"/>
        <v>Qld:Northern Queensland:Corymbia citriodora var variegata:Long</v>
      </c>
      <c r="B47" t="s">
        <v>67</v>
      </c>
      <c r="C47" t="s">
        <v>45</v>
      </c>
      <c r="D47" t="s">
        <v>69</v>
      </c>
      <c r="E47" t="s">
        <v>47</v>
      </c>
      <c r="F47">
        <v>-1.6371950999999999E-2</v>
      </c>
      <c r="G47">
        <v>17.1129666</v>
      </c>
      <c r="H47">
        <v>9</v>
      </c>
      <c r="I47">
        <v>21.9</v>
      </c>
      <c r="K47" t="str">
        <f t="shared" si="1"/>
        <v>South East Queensland:Softwood:Long</v>
      </c>
      <c r="L47" t="s">
        <v>44</v>
      </c>
      <c r="M47" t="s">
        <v>79</v>
      </c>
      <c r="N47" t="s">
        <v>47</v>
      </c>
      <c r="O47">
        <v>3.111554935</v>
      </c>
      <c r="P47">
        <v>-0.86588569999999998</v>
      </c>
    </row>
    <row r="48" spans="1:16" x14ac:dyDescent="0.3">
      <c r="A48" t="str">
        <f t="shared" si="0"/>
        <v>Qld:Northern Queensland:Eucalyptus argophloia:Long</v>
      </c>
      <c r="B48" t="s">
        <v>67</v>
      </c>
      <c r="C48" t="s">
        <v>45</v>
      </c>
      <c r="D48" t="s">
        <v>70</v>
      </c>
      <c r="E48" t="s">
        <v>47</v>
      </c>
      <c r="F48">
        <v>-1.6371950999999999E-2</v>
      </c>
      <c r="G48">
        <v>17.1129666</v>
      </c>
      <c r="H48">
        <v>9</v>
      </c>
      <c r="I48">
        <v>21.9</v>
      </c>
      <c r="K48" t="str">
        <f t="shared" si="1"/>
        <v>South East Queensland:Hardwood:Short</v>
      </c>
      <c r="L48" t="s">
        <v>44</v>
      </c>
      <c r="M48" t="s">
        <v>80</v>
      </c>
      <c r="N48" t="s">
        <v>46</v>
      </c>
      <c r="O48">
        <v>3.748189445</v>
      </c>
      <c r="P48">
        <v>-1.1236824000000001</v>
      </c>
    </row>
    <row r="49" spans="1:16" x14ac:dyDescent="0.3">
      <c r="A49" t="str">
        <f t="shared" si="0"/>
        <v>Qld:Northern Queensland:Eucalyptus cloeziana:Short</v>
      </c>
      <c r="B49" t="s">
        <v>67</v>
      </c>
      <c r="C49" t="s">
        <v>45</v>
      </c>
      <c r="D49" t="s">
        <v>7</v>
      </c>
      <c r="E49" t="s">
        <v>46</v>
      </c>
      <c r="F49">
        <v>-1.0229522E-2</v>
      </c>
      <c r="G49">
        <v>11.06914344</v>
      </c>
      <c r="H49">
        <v>5.6</v>
      </c>
      <c r="I49">
        <v>21.9</v>
      </c>
      <c r="K49" t="str">
        <f t="shared" si="1"/>
        <v>South East Queensland:Hardwood:Long</v>
      </c>
      <c r="L49" t="s">
        <v>44</v>
      </c>
      <c r="M49" t="s">
        <v>80</v>
      </c>
      <c r="N49" t="s">
        <v>47</v>
      </c>
      <c r="O49">
        <v>4.1657118149999999</v>
      </c>
      <c r="P49">
        <v>-1.1236824000000001</v>
      </c>
    </row>
    <row r="50" spans="1:16" x14ac:dyDescent="0.3">
      <c r="A50" t="str">
        <f t="shared" si="0"/>
        <v>Qld:Northern Queensland:Eucalyptus cloeziana:Long</v>
      </c>
      <c r="B50" t="s">
        <v>67</v>
      </c>
      <c r="C50" t="s">
        <v>45</v>
      </c>
      <c r="D50" t="s">
        <v>7</v>
      </c>
      <c r="E50" t="s">
        <v>47</v>
      </c>
      <c r="F50">
        <v>-1.6371950999999999E-2</v>
      </c>
      <c r="G50">
        <v>17.1129666</v>
      </c>
      <c r="H50">
        <v>9</v>
      </c>
      <c r="I50">
        <v>21.9</v>
      </c>
      <c r="K50" t="str">
        <f t="shared" si="1"/>
        <v>Northern Queensland:Softwood:Short</v>
      </c>
      <c r="L50" t="s">
        <v>45</v>
      </c>
      <c r="M50" t="s">
        <v>79</v>
      </c>
      <c r="N50" t="s">
        <v>46</v>
      </c>
      <c r="O50">
        <v>3.1522487350000001</v>
      </c>
      <c r="P50">
        <v>-0.86588569999999998</v>
      </c>
    </row>
    <row r="51" spans="1:16" x14ac:dyDescent="0.3">
      <c r="A51" t="str">
        <f t="shared" si="0"/>
        <v>Qld:Northern Queensland:Eucalyptus dunnii:Long</v>
      </c>
      <c r="B51" t="s">
        <v>67</v>
      </c>
      <c r="C51" t="s">
        <v>45</v>
      </c>
      <c r="D51" t="s">
        <v>60</v>
      </c>
      <c r="E51" t="s">
        <v>47</v>
      </c>
      <c r="F51">
        <v>-1.6371950999999999E-2</v>
      </c>
      <c r="G51">
        <v>17.1129666</v>
      </c>
      <c r="H51">
        <v>9</v>
      </c>
      <c r="I51">
        <v>21.9</v>
      </c>
      <c r="K51" t="str">
        <f t="shared" si="1"/>
        <v>Northern Queensland:Softwood:Long</v>
      </c>
      <c r="L51" t="s">
        <v>45</v>
      </c>
      <c r="M51" t="s">
        <v>79</v>
      </c>
      <c r="N51" t="s">
        <v>47</v>
      </c>
      <c r="O51">
        <v>3.1522487350000001</v>
      </c>
      <c r="P51">
        <v>-0.86588569999999998</v>
      </c>
    </row>
    <row r="52" spans="1:16" x14ac:dyDescent="0.3">
      <c r="A52" t="str">
        <f t="shared" si="0"/>
        <v>Qld:Northern Queensland:Eucalyptus pilularis:Long</v>
      </c>
      <c r="B52" t="s">
        <v>67</v>
      </c>
      <c r="C52" t="s">
        <v>45</v>
      </c>
      <c r="D52" t="s">
        <v>62</v>
      </c>
      <c r="E52" t="s">
        <v>47</v>
      </c>
      <c r="F52">
        <v>-1.6371950999999999E-2</v>
      </c>
      <c r="G52">
        <v>17.1129666</v>
      </c>
      <c r="H52">
        <v>9</v>
      </c>
      <c r="I52">
        <v>21.9</v>
      </c>
      <c r="K52" t="str">
        <f t="shared" si="1"/>
        <v>Northern Queensland:Hardwood:Short</v>
      </c>
      <c r="L52" t="s">
        <v>45</v>
      </c>
      <c r="M52" t="s">
        <v>80</v>
      </c>
      <c r="N52" t="s">
        <v>46</v>
      </c>
      <c r="O52">
        <v>3.7134754449999998</v>
      </c>
      <c r="P52">
        <v>-1.1236824000000001</v>
      </c>
    </row>
    <row r="53" spans="1:16" x14ac:dyDescent="0.3">
      <c r="A53" t="str">
        <f t="shared" si="0"/>
        <v>Qld:Northern Queensland:Pinus carribaea var. hondurensis:Long</v>
      </c>
      <c r="B53" t="s">
        <v>67</v>
      </c>
      <c r="C53" t="s">
        <v>45</v>
      </c>
      <c r="D53" t="s">
        <v>66</v>
      </c>
      <c r="E53" t="s">
        <v>47</v>
      </c>
      <c r="F53">
        <v>-9.8060370000000001E-3</v>
      </c>
      <c r="G53">
        <v>16.04838359</v>
      </c>
      <c r="H53">
        <v>5.7</v>
      </c>
      <c r="I53">
        <v>26</v>
      </c>
      <c r="K53" t="str">
        <f t="shared" si="1"/>
        <v>Northern Queensland:Hardwood:Long</v>
      </c>
      <c r="L53" t="s">
        <v>45</v>
      </c>
      <c r="M53" t="s">
        <v>80</v>
      </c>
      <c r="N53" t="s">
        <v>47</v>
      </c>
      <c r="O53">
        <v>4.1309978149999997</v>
      </c>
      <c r="P53">
        <v>-1.1236824000000001</v>
      </c>
    </row>
    <row r="54" spans="1:16" x14ac:dyDescent="0.3">
      <c r="A54" t="str">
        <f t="shared" si="0"/>
        <v>Qld:Northern Queensland:Pinus elliottii:Long</v>
      </c>
      <c r="B54" t="s">
        <v>67</v>
      </c>
      <c r="C54" t="s">
        <v>45</v>
      </c>
      <c r="D54" t="s">
        <v>63</v>
      </c>
      <c r="E54" t="s">
        <v>47</v>
      </c>
      <c r="F54">
        <v>-9.8060370000000001E-3</v>
      </c>
      <c r="G54">
        <v>16.04838359</v>
      </c>
      <c r="H54">
        <v>5.7</v>
      </c>
      <c r="I54">
        <v>26</v>
      </c>
      <c r="K54" t="str">
        <f t="shared" si="1"/>
        <v>Northern Territory:Hardwood:Short</v>
      </c>
      <c r="L54" t="s">
        <v>43</v>
      </c>
      <c r="M54" t="s">
        <v>80</v>
      </c>
      <c r="N54" t="s">
        <v>46</v>
      </c>
      <c r="O54">
        <v>3.4174851450000001</v>
      </c>
      <c r="P54">
        <v>-1.1236824000000001</v>
      </c>
    </row>
    <row r="55" spans="1:16" x14ac:dyDescent="0.3">
      <c r="A55" t="str">
        <f t="shared" si="0"/>
        <v>Qld:Northern Queensland:Pinus hybrids:Long</v>
      </c>
      <c r="B55" t="s">
        <v>67</v>
      </c>
      <c r="C55" t="s">
        <v>45</v>
      </c>
      <c r="D55" t="s">
        <v>71</v>
      </c>
      <c r="E55" t="s">
        <v>47</v>
      </c>
      <c r="F55">
        <v>-9.8060370000000001E-3</v>
      </c>
      <c r="G55">
        <v>16.04838359</v>
      </c>
      <c r="H55">
        <v>5.7</v>
      </c>
      <c r="I55">
        <v>26</v>
      </c>
      <c r="K55" t="str">
        <f t="shared" si="1"/>
        <v>Northern Territory:Hardwood:Long</v>
      </c>
      <c r="L55" t="s">
        <v>43</v>
      </c>
      <c r="M55" t="s">
        <v>80</v>
      </c>
      <c r="N55" t="s">
        <v>47</v>
      </c>
      <c r="O55">
        <v>3.835007515</v>
      </c>
      <c r="P55">
        <v>-1.1236824000000001</v>
      </c>
    </row>
    <row r="56" spans="1:16" x14ac:dyDescent="0.3">
      <c r="A56" t="str">
        <f t="shared" si="0"/>
        <v>SA:Green Triangle:Eucalyptus globulus:Short</v>
      </c>
      <c r="B56" t="s">
        <v>24</v>
      </c>
      <c r="C56" t="s">
        <v>17</v>
      </c>
      <c r="D56" t="s">
        <v>10</v>
      </c>
      <c r="E56" t="s">
        <v>46</v>
      </c>
      <c r="F56">
        <v>-2.3985159999999998E-2</v>
      </c>
      <c r="G56">
        <v>11.516006750000001</v>
      </c>
      <c r="H56">
        <v>3.8</v>
      </c>
      <c r="I56">
        <v>12.5</v>
      </c>
    </row>
    <row r="57" spans="1:16" x14ac:dyDescent="0.3">
      <c r="A57" t="str">
        <f t="shared" si="0"/>
        <v>SA:Green Triangle:Eucalyptus globulus:Long</v>
      </c>
      <c r="B57" t="s">
        <v>24</v>
      </c>
      <c r="C57" t="s">
        <v>17</v>
      </c>
      <c r="D57" t="s">
        <v>10</v>
      </c>
      <c r="E57" t="s">
        <v>47</v>
      </c>
      <c r="F57">
        <v>-4.82712E-2</v>
      </c>
      <c r="G57">
        <v>19.101213000000001</v>
      </c>
      <c r="H57">
        <v>6.5</v>
      </c>
      <c r="I57">
        <v>12.5</v>
      </c>
      <c r="K57" t="s">
        <v>92</v>
      </c>
    </row>
    <row r="58" spans="1:16" x14ac:dyDescent="0.3">
      <c r="A58" t="str">
        <f t="shared" si="0"/>
        <v>SA:Green Triangle:Pinus radiata:Long</v>
      </c>
      <c r="B58" t="s">
        <v>24</v>
      </c>
      <c r="C58" t="s">
        <v>17</v>
      </c>
      <c r="D58" t="s">
        <v>55</v>
      </c>
      <c r="E58" t="s">
        <v>47</v>
      </c>
      <c r="F58">
        <v>-2.8770062999999998E-2</v>
      </c>
      <c r="G58">
        <v>14.69381081</v>
      </c>
      <c r="H58">
        <v>3.6</v>
      </c>
      <c r="I58">
        <v>12.6</v>
      </c>
      <c r="K58" t="s">
        <v>93</v>
      </c>
      <c r="O58">
        <v>3.6638735750000002</v>
      </c>
      <c r="P58">
        <v>-1.1267699</v>
      </c>
    </row>
    <row r="59" spans="1:16" x14ac:dyDescent="0.3">
      <c r="A59" t="str">
        <f t="shared" si="0"/>
        <v>SA:Lofty Block:Eucalyptus globulus:Short</v>
      </c>
      <c r="B59" t="s">
        <v>24</v>
      </c>
      <c r="C59" t="s">
        <v>18</v>
      </c>
      <c r="D59" t="s">
        <v>10</v>
      </c>
      <c r="E59" t="s">
        <v>46</v>
      </c>
      <c r="F59">
        <v>-2.6996642000000001E-2</v>
      </c>
      <c r="G59">
        <v>11.41723732</v>
      </c>
      <c r="H59">
        <v>3.3</v>
      </c>
      <c r="I59">
        <v>11.4</v>
      </c>
      <c r="K59" t="s">
        <v>94</v>
      </c>
      <c r="O59">
        <v>3.6638735750000002</v>
      </c>
      <c r="P59">
        <v>-1.1267699</v>
      </c>
    </row>
    <row r="60" spans="1:16" x14ac:dyDescent="0.3">
      <c r="A60" t="str">
        <f t="shared" si="0"/>
        <v>SA:Lofty Block:Pinus radiata:Long</v>
      </c>
      <c r="B60" t="s">
        <v>24</v>
      </c>
      <c r="C60" t="s">
        <v>18</v>
      </c>
      <c r="D60" t="s">
        <v>55</v>
      </c>
      <c r="E60" t="s">
        <v>47</v>
      </c>
      <c r="F60">
        <v>-3.5459130999999998E-2</v>
      </c>
      <c r="G60">
        <v>16.396955070000001</v>
      </c>
      <c r="H60">
        <v>4</v>
      </c>
      <c r="I60">
        <v>11.7</v>
      </c>
    </row>
    <row r="61" spans="1:16" x14ac:dyDescent="0.3">
      <c r="A61" t="str">
        <f t="shared" si="0"/>
        <v>Tas:Tasmania:Eucalyptus globulus:Short</v>
      </c>
      <c r="B61" t="s">
        <v>72</v>
      </c>
      <c r="C61" t="s">
        <v>19</v>
      </c>
      <c r="D61" t="s">
        <v>10</v>
      </c>
      <c r="E61" t="s">
        <v>46</v>
      </c>
      <c r="F61">
        <v>-1.8799594999999999E-2</v>
      </c>
      <c r="G61">
        <v>13.39661102</v>
      </c>
      <c r="H61">
        <v>4.3</v>
      </c>
      <c r="I61">
        <v>16.5</v>
      </c>
    </row>
    <row r="62" spans="1:16" x14ac:dyDescent="0.3">
      <c r="A62" t="str">
        <f t="shared" si="0"/>
        <v>Tas:Tasmania:Eucalyptus globulus:Long</v>
      </c>
      <c r="B62" t="s">
        <v>72</v>
      </c>
      <c r="C62" t="s">
        <v>19</v>
      </c>
      <c r="D62" t="s">
        <v>10</v>
      </c>
      <c r="E62" t="s">
        <v>47</v>
      </c>
      <c r="F62">
        <v>-2.6683868999999999E-2</v>
      </c>
      <c r="G62">
        <v>17.70438218</v>
      </c>
      <c r="H62">
        <v>5.5</v>
      </c>
      <c r="I62">
        <v>16.5</v>
      </c>
    </row>
    <row r="63" spans="1:16" x14ac:dyDescent="0.3">
      <c r="A63" t="str">
        <f t="shared" si="0"/>
        <v>Tas:Tasmania:Eucalyptus nitens:Short</v>
      </c>
      <c r="B63" t="s">
        <v>72</v>
      </c>
      <c r="C63" t="s">
        <v>19</v>
      </c>
      <c r="D63" t="s">
        <v>11</v>
      </c>
      <c r="E63" t="s">
        <v>46</v>
      </c>
      <c r="F63">
        <v>-1.8799594999999999E-2</v>
      </c>
      <c r="G63">
        <v>13.39661102</v>
      </c>
      <c r="H63">
        <v>4.3</v>
      </c>
      <c r="I63">
        <v>16.5</v>
      </c>
    </row>
    <row r="64" spans="1:16" x14ac:dyDescent="0.3">
      <c r="A64" t="str">
        <f t="shared" si="0"/>
        <v>Tas:Tasmania:Eucalyptus nitens:Long</v>
      </c>
      <c r="B64" t="s">
        <v>72</v>
      </c>
      <c r="C64" t="s">
        <v>19</v>
      </c>
      <c r="D64" t="s">
        <v>11</v>
      </c>
      <c r="E64" t="s">
        <v>47</v>
      </c>
      <c r="F64">
        <v>-2.0997426E-2</v>
      </c>
      <c r="G64">
        <v>16.14442867</v>
      </c>
      <c r="H64">
        <v>5.5</v>
      </c>
      <c r="I64">
        <v>16.5</v>
      </c>
    </row>
    <row r="65" spans="1:9" x14ac:dyDescent="0.3">
      <c r="A65" t="str">
        <f t="shared" si="0"/>
        <v>Tas:Tasmania:Pinus radiata:Long</v>
      </c>
      <c r="B65" t="s">
        <v>72</v>
      </c>
      <c r="C65" t="s">
        <v>19</v>
      </c>
      <c r="D65" t="s">
        <v>55</v>
      </c>
      <c r="E65" t="s">
        <v>47</v>
      </c>
      <c r="F65">
        <v>-1.8602525000000002E-2</v>
      </c>
      <c r="G65">
        <v>15.381970750000001</v>
      </c>
      <c r="H65">
        <v>4.3</v>
      </c>
      <c r="I65">
        <v>16.600000000000001</v>
      </c>
    </row>
    <row r="66" spans="1:9" x14ac:dyDescent="0.3">
      <c r="A66" t="str">
        <f t="shared" si="0"/>
        <v>Vic:Green Triangle:Eucalyptus globulus:Short</v>
      </c>
      <c r="B66" t="s">
        <v>73</v>
      </c>
      <c r="C66" t="s">
        <v>17</v>
      </c>
      <c r="D66" t="s">
        <v>10</v>
      </c>
      <c r="E66" t="s">
        <v>46</v>
      </c>
      <c r="F66">
        <v>-2.3985159999999998E-2</v>
      </c>
      <c r="G66">
        <v>11.516006750000001</v>
      </c>
      <c r="H66">
        <v>3.8</v>
      </c>
      <c r="I66">
        <v>12.5</v>
      </c>
    </row>
    <row r="67" spans="1:9" x14ac:dyDescent="0.3">
      <c r="A67" t="str">
        <f t="shared" ref="A67:A96" si="2">B67&amp;":"&amp;C67&amp;":"&amp;D67&amp;":"&amp;E67</f>
        <v>Vic:Green Triangle:Eucalyptus globulus:Long</v>
      </c>
      <c r="B67" t="s">
        <v>73</v>
      </c>
      <c r="C67" t="s">
        <v>17</v>
      </c>
      <c r="D67" t="s">
        <v>10</v>
      </c>
      <c r="E67" t="s">
        <v>47</v>
      </c>
      <c r="F67">
        <v>-4.82712E-2</v>
      </c>
      <c r="G67">
        <v>19.101213000000001</v>
      </c>
      <c r="H67">
        <v>6.5</v>
      </c>
      <c r="I67">
        <v>12.5</v>
      </c>
    </row>
    <row r="68" spans="1:9" x14ac:dyDescent="0.3">
      <c r="A68" t="str">
        <f t="shared" si="2"/>
        <v>Vic:Green Triangle:Pinus radiata:Long</v>
      </c>
      <c r="B68" t="s">
        <v>73</v>
      </c>
      <c r="C68" t="s">
        <v>17</v>
      </c>
      <c r="D68" t="s">
        <v>55</v>
      </c>
      <c r="E68" t="s">
        <v>47</v>
      </c>
      <c r="F68">
        <v>-2.8770062999999998E-2</v>
      </c>
      <c r="G68">
        <v>14.69381081</v>
      </c>
      <c r="H68">
        <v>3.6</v>
      </c>
      <c r="I68">
        <v>12.6</v>
      </c>
    </row>
    <row r="69" spans="1:9" x14ac:dyDescent="0.3">
      <c r="A69" t="str">
        <f t="shared" si="2"/>
        <v>Vic:Central Victoria:Eucalyptus cladocalyx:Long</v>
      </c>
      <c r="B69" t="s">
        <v>73</v>
      </c>
      <c r="C69" t="s">
        <v>20</v>
      </c>
      <c r="D69" t="s">
        <v>56</v>
      </c>
      <c r="E69" t="s">
        <v>47</v>
      </c>
      <c r="F69">
        <v>-2.5851648000000001E-2</v>
      </c>
      <c r="G69">
        <v>16.64018145</v>
      </c>
      <c r="H69">
        <v>5.5</v>
      </c>
      <c r="I69">
        <v>14.9</v>
      </c>
    </row>
    <row r="70" spans="1:9" x14ac:dyDescent="0.3">
      <c r="A70" t="str">
        <f t="shared" si="2"/>
        <v>Vic:Central Victoria:Eucalyptus globulus:Short</v>
      </c>
      <c r="B70" t="s">
        <v>73</v>
      </c>
      <c r="C70" t="s">
        <v>20</v>
      </c>
      <c r="D70" t="s">
        <v>10</v>
      </c>
      <c r="E70" t="s">
        <v>46</v>
      </c>
      <c r="F70">
        <v>-1.8456660999999999E-2</v>
      </c>
      <c r="G70">
        <v>11.45467118</v>
      </c>
      <c r="H70">
        <v>4.5</v>
      </c>
      <c r="I70">
        <v>14.9</v>
      </c>
    </row>
    <row r="71" spans="1:9" x14ac:dyDescent="0.3">
      <c r="A71" t="str">
        <f t="shared" si="2"/>
        <v>Vic:Central Victoria:Eucalyptus globulus:Long</v>
      </c>
      <c r="B71" t="s">
        <v>73</v>
      </c>
      <c r="C71" t="s">
        <v>20</v>
      </c>
      <c r="D71" t="s">
        <v>10</v>
      </c>
      <c r="E71" t="s">
        <v>47</v>
      </c>
      <c r="F71">
        <v>-2.5851648000000001E-2</v>
      </c>
      <c r="G71">
        <v>16.64018145</v>
      </c>
      <c r="H71">
        <v>5.5</v>
      </c>
      <c r="I71">
        <v>14.9</v>
      </c>
    </row>
    <row r="72" spans="1:9" x14ac:dyDescent="0.3">
      <c r="A72" t="str">
        <f t="shared" si="2"/>
        <v>Vic:Central Victoria:Eucalyptus nitens:Short</v>
      </c>
      <c r="B72" t="s">
        <v>73</v>
      </c>
      <c r="C72" t="s">
        <v>20</v>
      </c>
      <c r="D72" t="s">
        <v>11</v>
      </c>
      <c r="E72" t="s">
        <v>46</v>
      </c>
      <c r="F72">
        <v>-1.8205900000000001E-2</v>
      </c>
      <c r="G72">
        <v>12.431057900000001</v>
      </c>
      <c r="H72">
        <v>4.9907000000000004</v>
      </c>
      <c r="I72">
        <v>14.5</v>
      </c>
    </row>
    <row r="73" spans="1:9" x14ac:dyDescent="0.3">
      <c r="A73" t="str">
        <f t="shared" si="2"/>
        <v>Vic:Central Victoria:Eucalyptus nitens:Long</v>
      </c>
      <c r="B73" t="s">
        <v>73</v>
      </c>
      <c r="C73" t="s">
        <v>20</v>
      </c>
      <c r="D73" t="s">
        <v>11</v>
      </c>
      <c r="E73" t="s">
        <v>47</v>
      </c>
      <c r="F73">
        <v>-2.6455699999999999E-2</v>
      </c>
      <c r="G73">
        <v>16.892079800000001</v>
      </c>
      <c r="H73">
        <v>6.3</v>
      </c>
      <c r="I73">
        <v>14.5</v>
      </c>
    </row>
    <row r="74" spans="1:9" x14ac:dyDescent="0.3">
      <c r="A74" t="str">
        <f t="shared" si="2"/>
        <v>Vic:Central Victoria:Pinus radiata:Long</v>
      </c>
      <c r="B74" t="s">
        <v>73</v>
      </c>
      <c r="C74" t="s">
        <v>20</v>
      </c>
      <c r="D74" t="s">
        <v>55</v>
      </c>
      <c r="E74" t="s">
        <v>47</v>
      </c>
      <c r="F74">
        <v>-1.7326606000000001E-2</v>
      </c>
      <c r="G74">
        <v>15.28718353</v>
      </c>
      <c r="H74">
        <v>4.3</v>
      </c>
      <c r="I74">
        <v>17.3</v>
      </c>
    </row>
    <row r="75" spans="1:9" x14ac:dyDescent="0.3">
      <c r="A75" t="str">
        <f t="shared" si="2"/>
        <v>Vic:Murray Valley:Eucalyptus cladocalyx:Long</v>
      </c>
      <c r="B75" t="s">
        <v>73</v>
      </c>
      <c r="C75" t="s">
        <v>12</v>
      </c>
      <c r="D75" t="s">
        <v>56</v>
      </c>
      <c r="E75" t="s">
        <v>47</v>
      </c>
      <c r="F75">
        <v>-2.9657211999999999E-2</v>
      </c>
      <c r="G75">
        <v>17.028836760000001</v>
      </c>
      <c r="H75">
        <v>5.5</v>
      </c>
      <c r="I75">
        <v>14</v>
      </c>
    </row>
    <row r="76" spans="1:9" x14ac:dyDescent="0.3">
      <c r="A76" t="str">
        <f t="shared" si="2"/>
        <v>Vic:Murray Valley:Eucalyptus globulus:Short</v>
      </c>
      <c r="B76" t="s">
        <v>73</v>
      </c>
      <c r="C76" t="s">
        <v>12</v>
      </c>
      <c r="D76" t="s">
        <v>10</v>
      </c>
      <c r="E76" t="s">
        <v>46</v>
      </c>
      <c r="F76">
        <v>-2.0363301E-2</v>
      </c>
      <c r="G76">
        <v>11.51277784</v>
      </c>
      <c r="H76">
        <v>4.3</v>
      </c>
      <c r="I76">
        <v>14</v>
      </c>
    </row>
    <row r="77" spans="1:9" x14ac:dyDescent="0.3">
      <c r="A77" t="str">
        <f t="shared" si="2"/>
        <v>Vic:Murray Valley:Eucalyptus globulus:Long</v>
      </c>
      <c r="B77" t="s">
        <v>73</v>
      </c>
      <c r="C77" t="s">
        <v>12</v>
      </c>
      <c r="D77" t="s">
        <v>10</v>
      </c>
      <c r="E77" t="s">
        <v>47</v>
      </c>
      <c r="F77">
        <v>-2.9657211999999999E-2</v>
      </c>
      <c r="G77">
        <v>17.028836760000001</v>
      </c>
      <c r="H77">
        <v>5.5</v>
      </c>
      <c r="I77">
        <v>14</v>
      </c>
    </row>
    <row r="78" spans="1:9" x14ac:dyDescent="0.3">
      <c r="A78" t="str">
        <f t="shared" si="2"/>
        <v>Vic:Murray Valley:Eucalyptus nitens:Short</v>
      </c>
      <c r="B78" t="s">
        <v>73</v>
      </c>
      <c r="C78" t="s">
        <v>12</v>
      </c>
      <c r="D78" t="s">
        <v>11</v>
      </c>
      <c r="E78" t="s">
        <v>46</v>
      </c>
      <c r="F78">
        <v>-2.29964E-2</v>
      </c>
      <c r="G78">
        <v>13.348583700000001</v>
      </c>
      <c r="H78">
        <v>6</v>
      </c>
      <c r="I78">
        <v>13.694699999999999</v>
      </c>
    </row>
    <row r="79" spans="1:9" x14ac:dyDescent="0.3">
      <c r="A79" t="str">
        <f t="shared" si="2"/>
        <v>Vic:Murray Valley:Eucalyptus nitens:Long</v>
      </c>
      <c r="B79" t="s">
        <v>73</v>
      </c>
      <c r="C79" t="s">
        <v>12</v>
      </c>
      <c r="D79" t="s">
        <v>11</v>
      </c>
      <c r="E79" t="s">
        <v>47</v>
      </c>
      <c r="F79">
        <v>-2.87455E-2</v>
      </c>
      <c r="G79">
        <v>16.935729599999998</v>
      </c>
      <c r="H79">
        <v>6</v>
      </c>
      <c r="I79">
        <v>13.694699999999999</v>
      </c>
    </row>
    <row r="80" spans="1:9" x14ac:dyDescent="0.3">
      <c r="A80" t="str">
        <f t="shared" si="2"/>
        <v>Vic:Murray Valley:Pinus radiata:Long</v>
      </c>
      <c r="B80" t="s">
        <v>73</v>
      </c>
      <c r="C80" t="s">
        <v>12</v>
      </c>
      <c r="D80" t="s">
        <v>55</v>
      </c>
      <c r="E80" t="s">
        <v>47</v>
      </c>
      <c r="F80">
        <v>-2.1935428999999999E-2</v>
      </c>
      <c r="G80">
        <v>15.48278414</v>
      </c>
      <c r="H80">
        <v>4</v>
      </c>
      <c r="I80">
        <v>14.9</v>
      </c>
    </row>
    <row r="81" spans="1:9" x14ac:dyDescent="0.3">
      <c r="A81" t="str">
        <f t="shared" si="2"/>
        <v>Vic:Central Gippsland:Eucalyptus globulus:Short</v>
      </c>
      <c r="B81" t="s">
        <v>73</v>
      </c>
      <c r="C81" t="s">
        <v>21</v>
      </c>
      <c r="D81" t="s">
        <v>10</v>
      </c>
      <c r="E81" t="s">
        <v>46</v>
      </c>
      <c r="F81">
        <v>-1.4781757E-2</v>
      </c>
      <c r="G81">
        <v>11.61590736</v>
      </c>
      <c r="H81">
        <v>5.8</v>
      </c>
      <c r="I81">
        <v>17.899999999999999</v>
      </c>
    </row>
    <row r="82" spans="1:9" x14ac:dyDescent="0.3">
      <c r="A82" t="str">
        <f t="shared" si="2"/>
        <v>Vic:Central Gippsland:Eucalyptus globulus:Long</v>
      </c>
      <c r="B82" t="s">
        <v>73</v>
      </c>
      <c r="C82" t="s">
        <v>21</v>
      </c>
      <c r="D82" t="s">
        <v>10</v>
      </c>
      <c r="E82" t="s">
        <v>47</v>
      </c>
      <c r="F82">
        <v>-2.4069492000000001E-2</v>
      </c>
      <c r="G82">
        <v>15.213142599999999</v>
      </c>
      <c r="H82">
        <v>8</v>
      </c>
      <c r="I82">
        <v>18</v>
      </c>
    </row>
    <row r="83" spans="1:9" x14ac:dyDescent="0.3">
      <c r="A83" t="str">
        <f t="shared" si="2"/>
        <v>Vic:Central Gippsland:Eucalyptus nitens:Short</v>
      </c>
      <c r="B83" t="s">
        <v>73</v>
      </c>
      <c r="C83" t="s">
        <v>21</v>
      </c>
      <c r="D83" t="s">
        <v>11</v>
      </c>
      <c r="E83" t="s">
        <v>46</v>
      </c>
      <c r="F83">
        <v>-1.4891069999999999E-2</v>
      </c>
      <c r="G83">
        <v>11.69989404</v>
      </c>
      <c r="H83">
        <v>5.8</v>
      </c>
      <c r="I83">
        <v>17.899999999999999</v>
      </c>
    </row>
    <row r="84" spans="1:9" x14ac:dyDescent="0.3">
      <c r="A84" t="str">
        <f t="shared" si="2"/>
        <v>Vic:Central Gippsland:Eucalyptus nitens:Long</v>
      </c>
      <c r="B84" t="s">
        <v>73</v>
      </c>
      <c r="C84" t="s">
        <v>21</v>
      </c>
      <c r="D84" t="s">
        <v>11</v>
      </c>
      <c r="E84" t="s">
        <v>47</v>
      </c>
      <c r="F84">
        <v>-1.8299793000000002E-2</v>
      </c>
      <c r="G84">
        <v>13.00465958</v>
      </c>
      <c r="H84">
        <v>8</v>
      </c>
      <c r="I84">
        <v>18</v>
      </c>
    </row>
    <row r="85" spans="1:9" x14ac:dyDescent="0.3">
      <c r="A85" t="str">
        <f t="shared" si="2"/>
        <v>Vic:Central Gippsland:Eucalyptus regnans:Long</v>
      </c>
      <c r="B85" t="s">
        <v>73</v>
      </c>
      <c r="C85" t="s">
        <v>21</v>
      </c>
      <c r="D85" t="s">
        <v>74</v>
      </c>
      <c r="E85" t="s">
        <v>47</v>
      </c>
      <c r="F85">
        <v>-2.5785471000000001E-2</v>
      </c>
      <c r="G85">
        <v>21.94354714</v>
      </c>
      <c r="H85">
        <v>6</v>
      </c>
      <c r="I85">
        <v>18.100000000000001</v>
      </c>
    </row>
    <row r="86" spans="1:9" x14ac:dyDescent="0.3">
      <c r="A86" t="str">
        <f t="shared" si="2"/>
        <v>Vic:Central Gippsland:Pinus radiata:Long</v>
      </c>
      <c r="B86" t="s">
        <v>73</v>
      </c>
      <c r="C86" t="s">
        <v>21</v>
      </c>
      <c r="D86" t="s">
        <v>55</v>
      </c>
      <c r="E86" t="s">
        <v>47</v>
      </c>
      <c r="F86">
        <v>-1.7882230999999998E-2</v>
      </c>
      <c r="G86">
        <v>15.998020009999999</v>
      </c>
      <c r="H86">
        <v>5.9</v>
      </c>
      <c r="I86">
        <v>18.3</v>
      </c>
    </row>
    <row r="87" spans="1:9" x14ac:dyDescent="0.3">
      <c r="A87" t="str">
        <f t="shared" si="2"/>
        <v>Vic:Bombala/East Gippsland:Eucalyptus globulus:Short</v>
      </c>
      <c r="B87" t="s">
        <v>73</v>
      </c>
      <c r="C87" t="s">
        <v>13</v>
      </c>
      <c r="D87" t="s">
        <v>10</v>
      </c>
      <c r="E87" t="s">
        <v>46</v>
      </c>
      <c r="F87">
        <v>-1.7483800000000001E-2</v>
      </c>
      <c r="G87">
        <v>11.7523158</v>
      </c>
      <c r="H87">
        <v>5.42</v>
      </c>
      <c r="I87">
        <v>16.100000000000001</v>
      </c>
    </row>
    <row r="88" spans="1:9" x14ac:dyDescent="0.3">
      <c r="A88" t="str">
        <f t="shared" si="2"/>
        <v>Vic:Bombala/East Gippsland:Eucalyptus globulus:Long</v>
      </c>
      <c r="B88" t="s">
        <v>73</v>
      </c>
      <c r="C88" t="s">
        <v>13</v>
      </c>
      <c r="D88" t="s">
        <v>10</v>
      </c>
      <c r="E88" t="s">
        <v>47</v>
      </c>
      <c r="F88">
        <v>-2.08478E-2</v>
      </c>
      <c r="G88">
        <v>16.387727099999999</v>
      </c>
      <c r="H88">
        <v>5.0999999999999996</v>
      </c>
      <c r="I88">
        <v>17.5</v>
      </c>
    </row>
    <row r="89" spans="1:9" x14ac:dyDescent="0.3">
      <c r="A89" t="str">
        <f t="shared" si="2"/>
        <v>Vic:Bombala/East Gippsland:Eucalyptus nitens:Short</v>
      </c>
      <c r="B89" t="s">
        <v>73</v>
      </c>
      <c r="C89" t="s">
        <v>13</v>
      </c>
      <c r="D89" t="s">
        <v>11</v>
      </c>
      <c r="E89" t="s">
        <v>46</v>
      </c>
      <c r="F89">
        <v>-1.6678200000000001E-2</v>
      </c>
      <c r="G89">
        <v>13.910181700000001</v>
      </c>
      <c r="H89">
        <v>6.5155000000000003</v>
      </c>
      <c r="I89">
        <v>16.5</v>
      </c>
    </row>
    <row r="90" spans="1:9" x14ac:dyDescent="0.3">
      <c r="A90" t="str">
        <f t="shared" si="2"/>
        <v>Vic:Bombala/East Gippsland:Eucalyptus nitens:Long</v>
      </c>
      <c r="B90" t="s">
        <v>73</v>
      </c>
      <c r="C90" t="s">
        <v>13</v>
      </c>
      <c r="D90" t="s">
        <v>11</v>
      </c>
      <c r="E90" t="s">
        <v>47</v>
      </c>
      <c r="F90">
        <v>-2.08478E-2</v>
      </c>
      <c r="G90">
        <v>16.387727099999999</v>
      </c>
      <c r="H90">
        <v>5.2</v>
      </c>
      <c r="I90">
        <v>17.600000000000001</v>
      </c>
    </row>
    <row r="91" spans="1:9" x14ac:dyDescent="0.3">
      <c r="A91" t="str">
        <f t="shared" si="2"/>
        <v>Vic:Bombala/East Gippsland:Pinus radiata:Long</v>
      </c>
      <c r="B91" t="s">
        <v>73</v>
      </c>
      <c r="C91" t="s">
        <v>13</v>
      </c>
      <c r="D91" t="s">
        <v>55</v>
      </c>
      <c r="E91" t="s">
        <v>47</v>
      </c>
      <c r="F91">
        <v>-1.8124899999999999E-2</v>
      </c>
      <c r="G91">
        <v>15.679737299999999</v>
      </c>
      <c r="H91">
        <v>5.0999999999999996</v>
      </c>
      <c r="I91">
        <v>17.5</v>
      </c>
    </row>
    <row r="92" spans="1:9" x14ac:dyDescent="0.3">
      <c r="A92" t="str">
        <f t="shared" si="2"/>
        <v>WA:Western Australia:Eucalyptus globulus:Short</v>
      </c>
      <c r="B92" t="s">
        <v>27</v>
      </c>
      <c r="C92" t="s">
        <v>22</v>
      </c>
      <c r="D92" t="s">
        <v>10</v>
      </c>
      <c r="E92" t="s">
        <v>46</v>
      </c>
      <c r="F92">
        <v>-1.5425638E-2</v>
      </c>
      <c r="G92">
        <v>8.7138690350000001</v>
      </c>
      <c r="H92">
        <v>3</v>
      </c>
      <c r="I92">
        <v>12.9</v>
      </c>
    </row>
    <row r="93" spans="1:9" x14ac:dyDescent="0.3">
      <c r="A93" t="str">
        <f t="shared" si="2"/>
        <v>WA:Western Australia:Eucalyptus Oil Mallee:Long</v>
      </c>
      <c r="B93" t="s">
        <v>27</v>
      </c>
      <c r="C93" t="s">
        <v>22</v>
      </c>
      <c r="D93" t="s">
        <v>75</v>
      </c>
      <c r="E93" t="s">
        <v>47</v>
      </c>
      <c r="F93">
        <v>-5.6969400000000003E-2</v>
      </c>
      <c r="G93">
        <v>10.1465055</v>
      </c>
      <c r="H93">
        <v>20</v>
      </c>
      <c r="I93">
        <v>20</v>
      </c>
    </row>
    <row r="94" spans="1:9" x14ac:dyDescent="0.3">
      <c r="A94" t="str">
        <f t="shared" si="2"/>
        <v>WA:Western Australia:Eucalyptus saligna:Long</v>
      </c>
      <c r="B94" t="s">
        <v>27</v>
      </c>
      <c r="C94" t="s">
        <v>22</v>
      </c>
      <c r="D94" t="s">
        <v>76</v>
      </c>
      <c r="E94" t="s">
        <v>47</v>
      </c>
      <c r="F94">
        <v>-2.8874725E-2</v>
      </c>
      <c r="G94">
        <v>13.951864479999999</v>
      </c>
      <c r="H94">
        <v>4</v>
      </c>
      <c r="I94">
        <v>12.9</v>
      </c>
    </row>
    <row r="95" spans="1:9" x14ac:dyDescent="0.3">
      <c r="A95" t="str">
        <f t="shared" si="2"/>
        <v>WA:Western Australia:Pinus pinaster:Long</v>
      </c>
      <c r="B95" t="s">
        <v>27</v>
      </c>
      <c r="C95" t="s">
        <v>22</v>
      </c>
      <c r="D95" t="s">
        <v>77</v>
      </c>
      <c r="E95" t="s">
        <v>47</v>
      </c>
      <c r="F95">
        <v>-5.1762215E-2</v>
      </c>
      <c r="G95">
        <v>18.18587789</v>
      </c>
      <c r="H95">
        <v>2.8</v>
      </c>
      <c r="I95">
        <v>9</v>
      </c>
    </row>
    <row r="96" spans="1:9" x14ac:dyDescent="0.3">
      <c r="A96" t="str">
        <f t="shared" si="2"/>
        <v>WA:Western Australia:Pinus radiata:Long</v>
      </c>
      <c r="B96" t="s">
        <v>27</v>
      </c>
      <c r="C96" t="s">
        <v>22</v>
      </c>
      <c r="D96" t="s">
        <v>55</v>
      </c>
      <c r="E96" t="s">
        <v>47</v>
      </c>
      <c r="F96">
        <v>-3.2397598E-2</v>
      </c>
      <c r="G96">
        <v>15.190002529999999</v>
      </c>
      <c r="H96">
        <v>4</v>
      </c>
      <c r="I96">
        <v>12.2</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C1C04-706C-448F-BFC5-E903FBC6A2E1}">
  <sheetPr codeName="Sheet2"/>
  <dimension ref="A1:O6"/>
  <sheetViews>
    <sheetView workbookViewId="0">
      <selection activeCell="M1" sqref="M1"/>
    </sheetView>
  </sheetViews>
  <sheetFormatPr defaultRowHeight="14.4" x14ac:dyDescent="0.3"/>
  <cols>
    <col min="1" max="1" width="22.109375" customWidth="1"/>
    <col min="6" max="6" width="2.33203125" customWidth="1"/>
    <col min="7" max="7" width="18" customWidth="1"/>
    <col min="8" max="8" width="16.6640625" customWidth="1"/>
    <col min="9" max="9" width="18" customWidth="1"/>
    <col min="10" max="10" width="17.21875" customWidth="1"/>
    <col min="11" max="11" width="19.21875" customWidth="1"/>
    <col min="12" max="12" width="18.33203125" customWidth="1"/>
    <col min="13" max="13" width="19" customWidth="1"/>
    <col min="14" max="14" width="20" customWidth="1"/>
    <col min="15" max="15" width="24" customWidth="1"/>
    <col min="17" max="17" width="13.88671875" customWidth="1"/>
  </cols>
  <sheetData>
    <row r="1" spans="1:15" x14ac:dyDescent="0.3">
      <c r="A1" t="s">
        <v>8</v>
      </c>
      <c r="B1" t="s">
        <v>30</v>
      </c>
      <c r="C1" t="s">
        <v>31</v>
      </c>
      <c r="D1" t="s">
        <v>32</v>
      </c>
      <c r="E1" t="s">
        <v>33</v>
      </c>
      <c r="G1" t="s">
        <v>34</v>
      </c>
      <c r="H1" t="s">
        <v>35</v>
      </c>
      <c r="I1" t="s">
        <v>36</v>
      </c>
      <c r="J1" t="s">
        <v>37</v>
      </c>
      <c r="K1" t="s">
        <v>38</v>
      </c>
      <c r="L1" t="s">
        <v>39</v>
      </c>
      <c r="M1" t="s">
        <v>40</v>
      </c>
      <c r="N1" t="s">
        <v>41</v>
      </c>
      <c r="O1" t="s">
        <v>42</v>
      </c>
    </row>
    <row r="2" spans="1:15" x14ac:dyDescent="0.3">
      <c r="A2" t="s">
        <v>10</v>
      </c>
      <c r="B2" t="s">
        <v>23</v>
      </c>
      <c r="C2" t="s">
        <v>25</v>
      </c>
      <c r="D2" t="s">
        <v>28</v>
      </c>
      <c r="E2" t="s">
        <v>29</v>
      </c>
      <c r="G2" t="s">
        <v>12</v>
      </c>
      <c r="H2" t="s">
        <v>17</v>
      </c>
      <c r="I2" t="s">
        <v>19</v>
      </c>
      <c r="J2" t="s">
        <v>17</v>
      </c>
      <c r="K2" t="s">
        <v>22</v>
      </c>
      <c r="L2" t="s">
        <v>19</v>
      </c>
      <c r="M2" t="s">
        <v>20</v>
      </c>
      <c r="N2" t="s">
        <v>43</v>
      </c>
      <c r="O2" t="s">
        <v>44</v>
      </c>
    </row>
    <row r="3" spans="1:15" x14ac:dyDescent="0.3">
      <c r="A3" t="s">
        <v>11</v>
      </c>
      <c r="B3" t="s">
        <v>24</v>
      </c>
      <c r="C3" t="s">
        <v>26</v>
      </c>
      <c r="G3" t="s">
        <v>13</v>
      </c>
      <c r="H3" t="s">
        <v>18</v>
      </c>
      <c r="J3" t="s">
        <v>20</v>
      </c>
      <c r="M3" t="s">
        <v>12</v>
      </c>
      <c r="O3" t="s">
        <v>45</v>
      </c>
    </row>
    <row r="4" spans="1:15" x14ac:dyDescent="0.3">
      <c r="A4" t="s">
        <v>9</v>
      </c>
      <c r="B4" t="s">
        <v>25</v>
      </c>
      <c r="G4" t="s">
        <v>14</v>
      </c>
      <c r="J4" t="s">
        <v>12</v>
      </c>
      <c r="M4" t="s">
        <v>21</v>
      </c>
    </row>
    <row r="5" spans="1:15" x14ac:dyDescent="0.3">
      <c r="A5" t="s">
        <v>7</v>
      </c>
      <c r="B5" t="s">
        <v>26</v>
      </c>
      <c r="G5" t="s">
        <v>15</v>
      </c>
      <c r="J5" t="s">
        <v>21</v>
      </c>
      <c r="M5" t="s">
        <v>13</v>
      </c>
    </row>
    <row r="6" spans="1:15" x14ac:dyDescent="0.3">
      <c r="B6" t="s">
        <v>27</v>
      </c>
      <c r="G6" t="s">
        <v>16</v>
      </c>
      <c r="J6" t="s">
        <v>13</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FEDFF5A17EBFF408172BFDB5CA07867" ma:contentTypeVersion="10" ma:contentTypeDescription="Create a new document." ma:contentTypeScope="" ma:versionID="03814bfead9436e28a31b84b03dda2d0">
  <xsd:schema xmlns:xsd="http://www.w3.org/2001/XMLSchema" xmlns:xs="http://www.w3.org/2001/XMLSchema" xmlns:p="http://schemas.microsoft.com/office/2006/metadata/properties" xmlns:ns1="http://schemas.microsoft.com/sharepoint/v3" xmlns:ns2="32e2fb52-454c-4a55-9e7f-b565c4403fdc" xmlns:ns3="28200a5b-dbf5-4d3e-b94c-0c7a404b124e" targetNamespace="http://schemas.microsoft.com/office/2006/metadata/properties" ma:root="true" ma:fieldsID="7b8a28cbba0e079f6ebeffe7bd13215f" ns1:_="" ns2:_="" ns3:_="">
    <xsd:import namespace="http://schemas.microsoft.com/sharepoint/v3"/>
    <xsd:import namespace="32e2fb52-454c-4a55-9e7f-b565c4403fdc"/>
    <xsd:import namespace="28200a5b-dbf5-4d3e-b94c-0c7a404b124e"/>
    <xsd:element name="properties">
      <xsd:complexType>
        <xsd:sequence>
          <xsd:element name="documentManagement">
            <xsd:complexType>
              <xsd:all>
                <xsd:element ref="ns2:CER_x0020_Content_x0020_Approval_x0020_Workflow_x0020_Comments" minOccurs="0"/>
                <xsd:element ref="ns2:CERContentPublishingTaskJobNumber"/>
                <xsd:element ref="ns2:Date_x0020_Submitted" minOccurs="0"/>
                <xsd:element ref="ns2:Requires_x0020_Higher_x0020_Approval" minOccurs="0"/>
                <xsd:element ref="ns2:Submitted_x0020_By" minOccurs="0"/>
                <xsd:element ref="ns1:PublishingStartDate" minOccurs="0"/>
                <xsd:element ref="ns1:PublishingExpirationDate" minOccurs="0"/>
                <xsd:element ref="ns2:CommonTopic" minOccurs="0"/>
                <xsd:element ref="ns1:_dlc_Exempt" minOccurs="0"/>
                <xsd:element ref="ns2:Type_x0020_of_x0020_document"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3" nillable="true" ma:displayName="Scheduling Start Date" ma:description="Scheduling Start Date is a site column created by the Publishing feature. It is used to specify the date and time on which this page will first appear to site visitors." ma:internalName="PublishingStartDate">
      <xsd:simpleType>
        <xsd:restriction base="dms:Unknown"/>
      </xsd:simpleType>
    </xsd:element>
    <xsd:element name="PublishingExpirationDate" ma:index="14" nillable="true" ma:displayName="Scheduling End Date" ma:description="Scheduling End Date is a site column created by the Publishing feature. It is used to specify the date and time on which this page will no longer appear to site visitors." ma:internalName="PublishingExpirationDate">
      <xsd:simpleType>
        <xsd:restriction base="dms:Unknown"/>
      </xsd:simpleType>
    </xsd:element>
    <xsd:element name="_dlc_Exempt" ma:index="16" nillable="true" ma:displayName="Exempt from Policy" ma:hidden="true" ma:internalName="_dlc_Exempt"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2e2fb52-454c-4a55-9e7f-b565c4403fdc" elementFormDefault="qualified">
    <xsd:import namespace="http://schemas.microsoft.com/office/2006/documentManagement/types"/>
    <xsd:import namespace="http://schemas.microsoft.com/office/infopath/2007/PartnerControls"/>
    <xsd:element name="CER_x0020_Content_x0020_Approval_x0020_Workflow_x0020_Comments" ma:index="8" nillable="true" ma:displayName="CER Content Approval Workflow Comments" ma:internalName="CER_x0020_Content_x0020_Approval_x0020_Workflow_x0020_Comments">
      <xsd:simpleType>
        <xsd:restriction base="dms:Text">
          <xsd:maxLength value="255"/>
        </xsd:restriction>
      </xsd:simpleType>
    </xsd:element>
    <xsd:element name="CERContentPublishingTaskJobNumber" ma:index="9" ma:displayName="CERContentPublishingTaskJobNumber" ma:default="WM####" ma:internalName="CERContentPublishingTaskJobNumber">
      <xsd:simpleType>
        <xsd:restriction base="dms:Note">
          <xsd:maxLength value="255"/>
        </xsd:restriction>
      </xsd:simpleType>
    </xsd:element>
    <xsd:element name="Date_x0020_Submitted" ma:index="10" nillable="true" ma:displayName="Date Submitted" ma:format="DateOnly" ma:internalName="Date_x0020_Submitted">
      <xsd:simpleType>
        <xsd:restriction base="dms:DateTime"/>
      </xsd:simpleType>
    </xsd:element>
    <xsd:element name="Requires_x0020_Higher_x0020_Approval" ma:index="11" nillable="true" ma:displayName="Requires Higher Approval" ma:default="0" ma:description="Requires Higher Approval" ma:internalName="Requires_x0020_Higher_x0020_Approval">
      <xsd:simpleType>
        <xsd:restriction base="dms:Boolean"/>
      </xsd:simpleType>
    </xsd:element>
    <xsd:element name="Submitted_x0020_By" ma:index="12" nillable="true" ma:displayName="Submitted By" ma:list="UserInfo" ma:SharePointGroup="0" ma:internalName="Submitted_x0020_By"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mmonTopic" ma:index="15" nillable="true" ma:displayName="Topic" ma:internalName="CommonTopic">
      <xsd:complexType>
        <xsd:complexContent>
          <xsd:extension base="dms:MultiChoice">
            <xsd:sequence>
              <xsd:element name="Value" maxOccurs="unbounded" minOccurs="0" nillable="true">
                <xsd:simpleType>
                  <xsd:restriction base="dms:Choice">
                    <xsd:enumeration value="Carbon Farming Initiative"/>
                    <xsd:enumeration value="Carbon Pricing Mechanism"/>
                    <xsd:enumeration value="National Greenhouse and Energy Reporting"/>
                    <xsd:enumeration value="Renewable Energy Target"/>
                    <xsd:enumeration value="Emissions Reduction Fund"/>
                    <xsd:enumeration value="NGER auditors"/>
                    <xsd:enumeration value="Media"/>
                    <xsd:enumeration value="Corporate"/>
                    <xsd:enumeration value="ANREU"/>
                    <xsd:enumeration value="EERS"/>
                    <xsd:enumeration value="REC Registry"/>
                    <xsd:enumeration value="Emissions Reduction Fund - mapping file"/>
                    <xsd:enumeration value="Reports"/>
                    <xsd:enumeration value="Guarantee of Origin"/>
                  </xsd:restriction>
                </xsd:simpleType>
              </xsd:element>
            </xsd:sequence>
          </xsd:extension>
        </xsd:complexContent>
      </xsd:complexType>
    </xsd:element>
    <xsd:element name="Type_x0020_of_x0020_document" ma:index="17" nillable="true" ma:displayName="Type of document" ma:default="general" ma:format="Dropdown" ma:indexed="true" ma:internalName="Type_x0020_of_x0020_document">
      <xsd:simpleType>
        <xsd:restriction base="dms:Choice">
          <xsd:enumeration value="general"/>
          <xsd:enumeration value="ERF project mapping file"/>
          <xsd:enumeration value="consulthub - CERT consult 1 submissions"/>
          <xsd:enumeration value="consulthub - CERT consult 2 submissions"/>
          <xsd:enumeration value="consulthub - CERT consult 3 submissions"/>
        </xsd:restriction>
      </xsd:simpleType>
    </xsd:element>
  </xsd:schema>
  <xsd:schema xmlns:xsd="http://www.w3.org/2001/XMLSchema" xmlns:xs="http://www.w3.org/2001/XMLSchema" xmlns:dms="http://schemas.microsoft.com/office/2006/documentManagement/types" xmlns:pc="http://schemas.microsoft.com/office/infopath/2007/PartnerControls" targetNamespace="28200a5b-dbf5-4d3e-b94c-0c7a404b124e"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p:Policy xmlns:p="office.server.policy" id="" local="true">
  <p:Name>Document</p:Name>
  <p:Description/>
  <p:Statement/>
  <p:PolicyItems>
    <p:PolicyItem featureId="Microsoft.Office.RecordsManagement.PolicyFeatures.PolicyAudit" staticId="0x0101006FEDFF5A17EBFF408172BFDB5CA07867|937198175" UniqueId="4978652a-571d-4abe-8789-326422c0f180">
      <p:Name>Auditing</p:Name>
      <p:Description>Audits user actions on documents and list items to the Audit Log.</p:Description>
      <p:CustomData>
        <Audit>
          <View/>
        </Audit>
      </p:CustomData>
    </p:PolicyItem>
  </p:PolicyItems>
</p:Policy>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CERContentPublishingTaskJobNumber xmlns="32e2fb52-454c-4a55-9e7f-b565c4403fdc">PJ1214</CERContentPublishingTaskJobNumber>
    <Date_x0020_Submitted xmlns="32e2fb52-454c-4a55-9e7f-b565c4403fdc" xsi:nil="true"/>
    <CER_x0020_Content_x0020_Approval_x0020_Workflow_x0020_Comments xmlns="32e2fb52-454c-4a55-9e7f-b565c4403fdc" xsi:nil="true"/>
    <Type_x0020_of_x0020_document xmlns="32e2fb52-454c-4a55-9e7f-b565c4403fdc">general</Type_x0020_of_x0020_document>
    <Submitted_x0020_By xmlns="32e2fb52-454c-4a55-9e7f-b565c4403fdc">
      <UserInfo>
        <DisplayName/>
        <AccountId xsi:nil="true"/>
        <AccountType/>
      </UserInfo>
    </Submitted_x0020_By>
    <PublishingExpirationDate xmlns="http://schemas.microsoft.com/sharepoint/v3" xsi:nil="true"/>
    <CommonTopic xmlns="32e2fb52-454c-4a55-9e7f-b565c4403fdc">
      <Value>Emissions Reduction Fund</Value>
    </CommonTopic>
    <Requires_x0020_Higher_x0020_Approval xmlns="32e2fb52-454c-4a55-9e7f-b565c4403fdc">false</Requires_x0020_Higher_x0020_Approval>
    <PublishingStartDate xmlns="http://schemas.microsoft.com/sharepoint/v3" xsi:nil="true"/>
  </documentManagement>
</p:properties>
</file>

<file path=customXml/itemProps1.xml><?xml version="1.0" encoding="utf-8"?>
<ds:datastoreItem xmlns:ds="http://schemas.openxmlformats.org/officeDocument/2006/customXml" ds:itemID="{5A34F8EC-CB4E-497C-B65F-3F107E94BA11}"/>
</file>

<file path=customXml/itemProps2.xml><?xml version="1.0" encoding="utf-8"?>
<ds:datastoreItem xmlns:ds="http://schemas.openxmlformats.org/officeDocument/2006/customXml" ds:itemID="{441925A8-417E-4894-ACBD-BA9A147B2FA1}"/>
</file>

<file path=customXml/itemProps3.xml><?xml version="1.0" encoding="utf-8"?>
<ds:datastoreItem xmlns:ds="http://schemas.openxmlformats.org/officeDocument/2006/customXml" ds:itemID="{B8FF469F-C60D-448C-8DBC-B757862AB03B}"/>
</file>

<file path=customXml/itemProps4.xml><?xml version="1.0" encoding="utf-8"?>
<ds:datastoreItem xmlns:ds="http://schemas.openxmlformats.org/officeDocument/2006/customXml" ds:itemID="{6E1D5C4C-CEFA-4DDB-9F72-79198F8DC4D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15</vt:i4>
      </vt:variant>
    </vt:vector>
  </HeadingPairs>
  <TitlesOfParts>
    <vt:vector size="20" baseType="lpstr">
      <vt:lpstr>Contents</vt:lpstr>
      <vt:lpstr>Calculate G and r</vt:lpstr>
      <vt:lpstr>Working</vt:lpstr>
      <vt:lpstr>FullCAM data</vt:lpstr>
      <vt:lpstr>Interface settings</vt:lpstr>
      <vt:lpstr>Acacia_mangium</vt:lpstr>
      <vt:lpstr>Acacia_mangiumNT</vt:lpstr>
      <vt:lpstr>Eucalyptus_cloeziana</vt:lpstr>
      <vt:lpstr>Eucalyptus_cloezianaQLD</vt:lpstr>
      <vt:lpstr>Eucalyptus_globulus</vt:lpstr>
      <vt:lpstr>Eucalyptus_globulusNSW</vt:lpstr>
      <vt:lpstr>Eucalyptus_globulusSA</vt:lpstr>
      <vt:lpstr>Eucalyptus_globulusTAS</vt:lpstr>
      <vt:lpstr>Eucalyptus_globulusVIC</vt:lpstr>
      <vt:lpstr>Eucalyptus_globulusWA</vt:lpstr>
      <vt:lpstr>Eucalyptus_nitens</vt:lpstr>
      <vt:lpstr>Eucalyptus_nitensTAS</vt:lpstr>
      <vt:lpstr>Eucalyptus_nitensVIC</vt:lpstr>
      <vt:lpstr>GlobulusNSW</vt:lpstr>
      <vt:lpstr>Species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Manual G and r calculator</dc:title>
  <dc:creator/>
  <cp:lastModifiedBy/>
  <dcterms:created xsi:type="dcterms:W3CDTF">2022-01-10T00:38:42Z</dcterms:created>
  <dcterms:modified xsi:type="dcterms:W3CDTF">2022-01-10T00:39:38Z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0x0101006FEDFF5A17EBFF408172BFDB5CA07867</vt:lpwstr>
  </property>
</Properties>
</file>